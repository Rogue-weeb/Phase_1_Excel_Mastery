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gue\Data-analysis-learning\Phase_1_Excel_Mastery\Month_1_Core_Fundamentals\Week 3\"/>
    </mc:Choice>
  </mc:AlternateContent>
  <xr:revisionPtr revIDLastSave="0" documentId="13_ncr:1_{FADFF3B9-F065-48A3-9BED-C844BEA3D729}" xr6:coauthVersionLast="47" xr6:coauthVersionMax="47" xr10:uidLastSave="{00000000-0000-0000-0000-000000000000}"/>
  <bookViews>
    <workbookView xWindow="-110" yWindow="-110" windowWidth="19420" windowHeight="10300" activeTab="2" xr2:uid="{00000000-000D-0000-FFFF-FFFF00000000}"/>
  </bookViews>
  <sheets>
    <sheet name="Title sheet" sheetId="2" r:id="rId1"/>
    <sheet name="Challenge" sheetId="1" r:id="rId2"/>
    <sheet name="Sheet1" sheetId="3" r:id="rId3"/>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5" i="1" l="1"/>
  <c r="F8" i="1" s="1"/>
  <c r="C22" i="1"/>
  <c r="F9" i="1"/>
  <c r="F10" i="1"/>
  <c r="F11" i="1"/>
  <c r="F14" i="1"/>
  <c r="G14" i="1" s="1"/>
  <c r="F17" i="1"/>
  <c r="F18" i="1"/>
  <c r="F19" i="1"/>
  <c r="E8" i="1"/>
  <c r="E10" i="1"/>
  <c r="E9" i="1"/>
  <c r="E11" i="1"/>
  <c r="G11" i="1" s="1"/>
  <c r="E12" i="1"/>
  <c r="E13" i="1"/>
  <c r="E14" i="1"/>
  <c r="E15" i="1"/>
  <c r="E16" i="1"/>
  <c r="E17" i="1"/>
  <c r="E18" i="1"/>
  <c r="E19" i="1"/>
  <c r="G19" i="1" s="1"/>
  <c r="E20" i="1"/>
  <c r="E21" i="1"/>
  <c r="F12" i="1"/>
  <c r="G17" i="1" l="1"/>
  <c r="G18" i="1"/>
  <c r="G9" i="1"/>
  <c r="G10" i="1"/>
  <c r="E22" i="1"/>
  <c r="G8" i="1"/>
  <c r="G20" i="1"/>
  <c r="G12" i="1"/>
  <c r="F16" i="1"/>
  <c r="G16" i="1" s="1"/>
  <c r="F15" i="1"/>
  <c r="G15" i="1" s="1"/>
  <c r="F21" i="1"/>
  <c r="G21" i="1" s="1"/>
  <c r="F13" i="1"/>
  <c r="G13" i="1" s="1"/>
  <c r="F20" i="1"/>
  <c r="G22" i="1" l="1"/>
  <c r="F22" i="1"/>
</calcChain>
</file>

<file path=xl/sharedStrings.xml><?xml version="1.0" encoding="utf-8"?>
<sst xmlns="http://schemas.openxmlformats.org/spreadsheetml/2006/main" count="32" uniqueCount="25">
  <si>
    <t>Pushpin Shipping</t>
  </si>
  <si>
    <t>Two Week Timesheet</t>
  </si>
  <si>
    <t>Staff Name:</t>
  </si>
  <si>
    <t>Hourly Rate</t>
  </si>
  <si>
    <t>Date Submitted:</t>
  </si>
  <si>
    <t>Overtime Rate</t>
  </si>
  <si>
    <t>Day</t>
  </si>
  <si>
    <t>Date</t>
  </si>
  <si>
    <t>Regular Hours</t>
  </si>
  <si>
    <t>Overtime Hours</t>
  </si>
  <si>
    <t>Regular Pay</t>
  </si>
  <si>
    <t>Overtime Pay</t>
  </si>
  <si>
    <t>Total</t>
  </si>
  <si>
    <t>Monday</t>
  </si>
  <si>
    <t>Saturday</t>
  </si>
  <si>
    <t>TOTAL</t>
  </si>
  <si>
    <t>Tuesday</t>
  </si>
  <si>
    <t>Wednesday</t>
  </si>
  <si>
    <t>Thursday</t>
  </si>
  <si>
    <t>Friday</t>
  </si>
  <si>
    <t>Sunday</t>
  </si>
  <si>
    <t>Week 3: Practice Challenge 1 - Formatting</t>
  </si>
  <si>
    <t>This week we have a formidable challenge for you. Transform the Push Pin Timesheet from looking like a bunch of text and numbers to looking fabulous:</t>
  </si>
  <si>
    <t xml:space="preserve">Head over to the Challenge Worksheet and get right into it. Don't worry, you can do this. We will be with you every step of the way with Nicky's excellent instructions. </t>
  </si>
  <si>
    <t>Efe Omohwovo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</si>
</sst>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F800]dddd\,\ mmmm\ dd\,\ yyyy"/>
    <numFmt numFmtId="166" formatCode="&quot;₦&quot;#,##0.00"/>
  </numFmts>
  <fonts count="7" x14ac:knownFonts="1">
    <font>
      <sz val="11"/>
      <color theme="1"/>
      <name val="Century Gothic"/>
      <family val="2"/>
      <scheme val="minor"/>
    </font>
    <font>
      <b/>
      <sz val="28"/>
      <color theme="1"/>
      <name val="Calibri Light"/>
      <family val="2"/>
    </font>
    <font>
      <sz val="14"/>
      <color theme="1"/>
      <name val="Century Gothic"/>
      <family val="2"/>
      <scheme val="minor"/>
    </font>
    <font>
      <sz val="11"/>
      <color theme="1"/>
      <name val="Century Gothic"/>
      <family val="2"/>
      <scheme val="minor"/>
    </font>
    <font>
      <b/>
      <sz val="11"/>
      <color theme="3"/>
      <name val="Century Gothic"/>
      <family val="2"/>
      <scheme val="minor"/>
    </font>
    <font>
      <sz val="11"/>
      <color theme="0"/>
      <name val="Century Gothic"/>
      <family val="2"/>
      <scheme val="minor"/>
    </font>
    <font>
      <sz val="36"/>
      <color theme="1"/>
      <name val="Century Gothic"/>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4" tint="-0.249977111117893"/>
        <bgColor indexed="64"/>
      </patternFill>
    </fill>
  </fills>
  <borders count="3">
    <border>
      <left/>
      <right/>
      <top/>
      <bottom/>
      <diagonal/>
    </border>
    <border>
      <left/>
      <right/>
      <top style="thin">
        <color indexed="64"/>
      </top>
      <bottom style="double">
        <color indexed="64"/>
      </bottom>
      <diagonal/>
    </border>
    <border>
      <left/>
      <right/>
      <top style="thick">
        <color theme="4" tint="0.39991454817346722"/>
      </top>
      <bottom style="thick">
        <color theme="4" tint="0.39991454817346722"/>
      </bottom>
      <diagonal/>
    </border>
  </borders>
  <cellStyleXfs count="3">
    <xf numFmtId="0" fontId="0" fillId="0" borderId="0"/>
    <xf numFmtId="0" fontId="4" fillId="0" borderId="0" applyNumberFormat="0" applyFill="0" applyBorder="0" applyAlignment="0" applyProtection="0"/>
    <xf numFmtId="0" fontId="3" fillId="2" borderId="0" applyNumberFormat="0" applyBorder="0" applyAlignment="0" applyProtection="0"/>
  </cellStyleXfs>
  <cellXfs count="22">
    <xf numFmtId="0" fontId="0" fillId="0" borderId="0" xfId="0"/>
    <xf numFmtId="0" fontId="2" fillId="0" borderId="0" xfId="0" applyFont="1"/>
    <xf numFmtId="0" fontId="1" fillId="0" borderId="0" xfId="0" applyFont="1" applyAlignment="1">
      <alignment horizontal="center" vertical="center" wrapText="1"/>
    </xf>
    <xf numFmtId="0" fontId="6" fillId="2" borderId="0" xfId="2" applyFont="1" applyAlignment="1">
      <alignment horizontal="center"/>
    </xf>
    <xf numFmtId="0" fontId="3" fillId="2" borderId="0" xfId="2" applyBorder="1"/>
    <xf numFmtId="165" fontId="3" fillId="2" borderId="0" xfId="2" applyNumberFormat="1" applyBorder="1"/>
    <xf numFmtId="166" fontId="3" fillId="2" borderId="0" xfId="2" applyNumberFormat="1" applyBorder="1"/>
    <xf numFmtId="0" fontId="3" fillId="2" borderId="0" xfId="2"/>
    <xf numFmtId="0" fontId="2" fillId="0" borderId="0" xfId="0" applyFont="1" applyBorder="1"/>
    <xf numFmtId="0" fontId="2" fillId="3" borderId="0" xfId="0" applyFont="1" applyFill="1" applyBorder="1"/>
    <xf numFmtId="166" fontId="2" fillId="3" borderId="0" xfId="0" applyNumberFormat="1" applyFont="1" applyFill="1" applyBorder="1"/>
    <xf numFmtId="0" fontId="5" fillId="4" borderId="0" xfId="2" applyFont="1" applyFill="1" applyBorder="1"/>
    <xf numFmtId="0" fontId="4" fillId="0" borderId="2" xfId="1" applyBorder="1" applyAlignment="1">
      <alignment horizontal="center"/>
    </xf>
    <xf numFmtId="0" fontId="2" fillId="3" borderId="1" xfId="0" applyFont="1" applyFill="1" applyBorder="1"/>
    <xf numFmtId="166" fontId="2" fillId="3" borderId="1" xfId="0" applyNumberFormat="1" applyFont="1" applyFill="1" applyBorder="1"/>
    <xf numFmtId="0" fontId="2" fillId="0" borderId="0" xfId="0" applyFont="1" applyFill="1"/>
    <xf numFmtId="0" fontId="5" fillId="0" borderId="0" xfId="2" applyFont="1" applyFill="1" applyBorder="1"/>
    <xf numFmtId="0" fontId="3" fillId="0" borderId="0" xfId="2" applyFill="1" applyBorder="1"/>
    <xf numFmtId="166" fontId="3" fillId="0" borderId="0" xfId="2" applyNumberFormat="1" applyFill="1" applyBorder="1"/>
    <xf numFmtId="165" fontId="3" fillId="0" borderId="0" xfId="2" applyNumberFormat="1" applyFill="1" applyBorder="1"/>
    <xf numFmtId="0" fontId="2" fillId="0" borderId="0" xfId="0" applyFont="1" applyFill="1" applyBorder="1"/>
    <xf numFmtId="14" fontId="2" fillId="3" borderId="0" xfId="0" applyNumberFormat="1" applyFont="1" applyFill="1" applyBorder="1" applyAlignment="1">
      <alignment horizontal="center" vertical="center"/>
    </xf>
  </cellXfs>
  <cellStyles count="3">
    <cellStyle name="20% - Accent1" xfId="2" builtinId="30"/>
    <cellStyle name="Heading 4" xfId="1"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0</xdr:row>
      <xdr:rowOff>101600</xdr:rowOff>
    </xdr:from>
    <xdr:to>
      <xdr:col>5</xdr:col>
      <xdr:colOff>290830</xdr:colOff>
      <xdr:row>0</xdr:row>
      <xdr:rowOff>807085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twoCellAnchor editAs="oneCell">
    <xdr:from>
      <xdr:col>0</xdr:col>
      <xdr:colOff>228600</xdr:colOff>
      <xdr:row>4</xdr:row>
      <xdr:rowOff>52310</xdr:rowOff>
    </xdr:from>
    <xdr:to>
      <xdr:col>2</xdr:col>
      <xdr:colOff>1861820</xdr:colOff>
      <xdr:row>24</xdr:row>
      <xdr:rowOff>6285</xdr:rowOff>
    </xdr:to>
    <xdr:pic>
      <xdr:nvPicPr>
        <xdr:cNvPr id="3" name="Picture 2">
          <a:extLst>
            <a:ext uri="{FF2B5EF4-FFF2-40B4-BE49-F238E27FC236}">
              <a16:creationId xmlns:a16="http://schemas.microsoft.com/office/drawing/2014/main" id="{C88F51EE-79DB-4CB9-97C8-DCB85C02CF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 y="1773160"/>
          <a:ext cx="6497320" cy="344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138547</xdr:colOff>
      <xdr:row>5</xdr:row>
      <xdr:rowOff>11545</xdr:rowOff>
    </xdr:from>
    <xdr:to>
      <xdr:col>20</xdr:col>
      <xdr:colOff>442767</xdr:colOff>
      <xdr:row>40</xdr:row>
      <xdr:rowOff>115455</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10310092" y="1489363"/>
          <a:ext cx="7647130" cy="8162637"/>
        </a:xfrm>
        <a:prstGeom prst="roundRect">
          <a:avLst>
            <a:gd name="adj" fmla="val 39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t>INSTRUCTIONS</a:t>
          </a:r>
        </a:p>
        <a:p>
          <a:pPr algn="l"/>
          <a:endParaRPr lang="en-AU" sz="1400"/>
        </a:p>
        <a:p>
          <a:pPr algn="l"/>
          <a:r>
            <a:rPr lang="en-AU" sz="1400" baseline="0"/>
            <a:t>* Enter your name in </a:t>
          </a:r>
          <a:r>
            <a:rPr lang="en-AU" sz="1400" b="1" baseline="0"/>
            <a:t>B4</a:t>
          </a:r>
          <a:r>
            <a:rPr lang="en-AU" sz="1400" baseline="0"/>
            <a:t> and the current date in </a:t>
          </a:r>
          <a:r>
            <a:rPr lang="en-AU" sz="1400" b="1" baseline="0"/>
            <a:t>B5</a:t>
          </a:r>
        </a:p>
        <a:p>
          <a:pPr algn="l"/>
          <a:r>
            <a:rPr lang="en-AU" sz="1400" baseline="0">
              <a:solidFill>
                <a:schemeClr val="lt1"/>
              </a:solidFill>
              <a:effectLst/>
              <a:latin typeface="+mn-lt"/>
              <a:ea typeface="+mn-ea"/>
              <a:cs typeface="+mn-cs"/>
            </a:rPr>
            <a:t>* </a:t>
          </a:r>
          <a:r>
            <a:rPr lang="en-AU" sz="1400" b="1" baseline="0"/>
            <a:t>Overtime Rate</a:t>
          </a:r>
          <a:r>
            <a:rPr lang="en-AU" sz="1400" baseline="0"/>
            <a:t> is 50% more than </a:t>
          </a:r>
          <a:r>
            <a:rPr lang="en-AU" sz="1400" b="1" baseline="0"/>
            <a:t>Hourly rate</a:t>
          </a:r>
          <a:r>
            <a:rPr lang="en-AU" sz="1400" baseline="0"/>
            <a:t>, put a calculation in </a:t>
          </a:r>
          <a:r>
            <a:rPr lang="en-AU" sz="1400" b="1" baseline="0"/>
            <a:t>G5</a:t>
          </a:r>
          <a:r>
            <a:rPr lang="en-AU" sz="1400" baseline="0"/>
            <a:t> to calculate </a:t>
          </a:r>
          <a:r>
            <a:rPr lang="en-AU" sz="1400" b="1" baseline="0"/>
            <a:t>Overtime Rate</a:t>
          </a:r>
        </a:p>
        <a:p>
          <a:pPr marL="0" marR="0" lvl="0" indent="0" algn="l" defTabSz="914400" eaLnBrk="1" fontAlgn="auto" latinLnBrk="0" hangingPunct="1">
            <a:lnSpc>
              <a:spcPct val="100000"/>
            </a:lnSpc>
            <a:spcBef>
              <a:spcPts val="0"/>
            </a:spcBef>
            <a:spcAft>
              <a:spcPts val="0"/>
            </a:spcAft>
            <a:buClrTx/>
            <a:buSzTx/>
            <a:buFontTx/>
            <a:buNone/>
            <a:tabLst/>
            <a:defRPr/>
          </a:pPr>
          <a:r>
            <a:rPr lang="en-AU" sz="1400" baseline="0">
              <a:solidFill>
                <a:schemeClr val="lt1"/>
              </a:solidFill>
              <a:effectLst/>
              <a:latin typeface="+mn-lt"/>
              <a:ea typeface="+mn-ea"/>
              <a:cs typeface="+mn-cs"/>
            </a:rPr>
            <a:t>* Enter the most recent Monday's Date in </a:t>
          </a:r>
          <a:r>
            <a:rPr lang="en-AU" sz="1400" b="1" baseline="0">
              <a:solidFill>
                <a:schemeClr val="lt1"/>
              </a:solidFill>
              <a:effectLst/>
              <a:latin typeface="+mn-lt"/>
              <a:ea typeface="+mn-ea"/>
              <a:cs typeface="+mn-cs"/>
            </a:rPr>
            <a:t>B8</a:t>
          </a:r>
          <a:endParaRPr lang="en-AU" sz="1400" b="1">
            <a:effectLst/>
          </a:endParaRPr>
        </a:p>
        <a:p>
          <a:pPr algn="l"/>
          <a:r>
            <a:rPr lang="en-AU" sz="1400" baseline="0">
              <a:solidFill>
                <a:schemeClr val="lt1"/>
              </a:solidFill>
              <a:effectLst/>
              <a:latin typeface="+mn-lt"/>
              <a:ea typeface="+mn-ea"/>
              <a:cs typeface="+mn-cs"/>
            </a:rPr>
            <a:t>* </a:t>
          </a:r>
          <a:r>
            <a:rPr lang="en-AU" sz="1400" baseline="0"/>
            <a:t>Use the fill handle to copy </a:t>
          </a:r>
          <a:r>
            <a:rPr lang="en-AU" sz="1400" b="1" baseline="0"/>
            <a:t>Day</a:t>
          </a:r>
          <a:r>
            <a:rPr lang="en-AU" sz="1400" baseline="0"/>
            <a:t>, </a:t>
          </a:r>
          <a:r>
            <a:rPr lang="en-AU" sz="1400" b="1" baseline="0"/>
            <a:t>Date</a:t>
          </a:r>
          <a:r>
            <a:rPr lang="en-AU" sz="1400" baseline="0"/>
            <a:t> and </a:t>
          </a:r>
          <a:r>
            <a:rPr lang="en-AU" sz="1400" b="1" baseline="0"/>
            <a:t>Regular Hours</a:t>
          </a:r>
          <a:r>
            <a:rPr lang="en-AU" sz="1400" baseline="0"/>
            <a:t> values down to row 21. </a:t>
          </a:r>
        </a:p>
        <a:p>
          <a:pPr algn="l"/>
          <a:r>
            <a:rPr lang="en-AU" sz="1400" baseline="0">
              <a:solidFill>
                <a:schemeClr val="lt1"/>
              </a:solidFill>
              <a:effectLst/>
              <a:latin typeface="+mn-lt"/>
              <a:ea typeface="+mn-ea"/>
              <a:cs typeface="+mn-cs"/>
            </a:rPr>
            <a:t>* </a:t>
          </a:r>
          <a:r>
            <a:rPr lang="en-AU" sz="1400" baseline="0"/>
            <a:t>Delete </a:t>
          </a:r>
          <a:r>
            <a:rPr lang="en-AU" sz="1400" b="1" baseline="0"/>
            <a:t>Regular Hours</a:t>
          </a:r>
          <a:r>
            <a:rPr lang="en-AU" sz="1400" baseline="0"/>
            <a:t> values for weekend dates</a:t>
          </a:r>
        </a:p>
        <a:p>
          <a:pPr algn="l"/>
          <a:r>
            <a:rPr lang="en-AU" sz="1400" baseline="0">
              <a:solidFill>
                <a:schemeClr val="lt1"/>
              </a:solidFill>
              <a:effectLst/>
              <a:latin typeface="+mn-lt"/>
              <a:ea typeface="+mn-ea"/>
              <a:cs typeface="+mn-cs"/>
            </a:rPr>
            <a:t>* </a:t>
          </a:r>
          <a:r>
            <a:rPr lang="en-AU" sz="1400" baseline="0"/>
            <a:t>In </a:t>
          </a:r>
          <a:r>
            <a:rPr lang="en-AU" sz="1400" b="1" baseline="0"/>
            <a:t>E8</a:t>
          </a:r>
          <a:r>
            <a:rPr lang="en-AU" sz="1400" baseline="0"/>
            <a:t> enter a formula to multiply the </a:t>
          </a:r>
          <a:r>
            <a:rPr lang="en-AU" sz="1400" b="1" baseline="0"/>
            <a:t>Regular Hours</a:t>
          </a:r>
          <a:r>
            <a:rPr lang="en-AU" sz="1400" baseline="0"/>
            <a:t> by the </a:t>
          </a:r>
          <a:r>
            <a:rPr lang="en-AU" sz="1400" b="1" baseline="0"/>
            <a:t>Hourly Rate</a:t>
          </a:r>
          <a:r>
            <a:rPr lang="en-AU" sz="1400" baseline="0"/>
            <a:t> (think absolute cell ref!)</a:t>
          </a:r>
        </a:p>
        <a:p>
          <a:pPr algn="l"/>
          <a:r>
            <a:rPr lang="en-AU" sz="1400" baseline="0">
              <a:solidFill>
                <a:schemeClr val="lt1"/>
              </a:solidFill>
              <a:effectLst/>
              <a:latin typeface="+mn-lt"/>
              <a:ea typeface="+mn-ea"/>
              <a:cs typeface="+mn-cs"/>
            </a:rPr>
            <a:t>* </a:t>
          </a:r>
          <a:r>
            <a:rPr lang="en-AU" sz="1400" baseline="0"/>
            <a:t>In </a:t>
          </a:r>
          <a:r>
            <a:rPr lang="en-AU" sz="1400" b="1" baseline="0"/>
            <a:t>F8</a:t>
          </a:r>
          <a:r>
            <a:rPr lang="en-AU" sz="1400" baseline="0"/>
            <a:t> </a:t>
          </a:r>
          <a:r>
            <a:rPr lang="en-AU" sz="1400" baseline="0">
              <a:solidFill>
                <a:schemeClr val="lt1"/>
              </a:solidFill>
              <a:effectLst/>
              <a:latin typeface="+mn-lt"/>
              <a:ea typeface="+mn-ea"/>
              <a:cs typeface="+mn-cs"/>
            </a:rPr>
            <a:t>enter a formula to multiply the </a:t>
          </a:r>
          <a:r>
            <a:rPr lang="en-AU" sz="1400" b="1" baseline="0">
              <a:solidFill>
                <a:schemeClr val="lt1"/>
              </a:solidFill>
              <a:effectLst/>
              <a:latin typeface="+mn-lt"/>
              <a:ea typeface="+mn-ea"/>
              <a:cs typeface="+mn-cs"/>
            </a:rPr>
            <a:t>Overtime Hours</a:t>
          </a:r>
          <a:r>
            <a:rPr lang="en-AU" sz="1400" baseline="0">
              <a:solidFill>
                <a:schemeClr val="lt1"/>
              </a:solidFill>
              <a:effectLst/>
              <a:latin typeface="+mn-lt"/>
              <a:ea typeface="+mn-ea"/>
              <a:cs typeface="+mn-cs"/>
            </a:rPr>
            <a:t> by the </a:t>
          </a:r>
          <a:r>
            <a:rPr lang="en-AU" sz="1400" b="1" baseline="0">
              <a:solidFill>
                <a:schemeClr val="lt1"/>
              </a:solidFill>
              <a:effectLst/>
              <a:latin typeface="+mn-lt"/>
              <a:ea typeface="+mn-ea"/>
              <a:cs typeface="+mn-cs"/>
            </a:rPr>
            <a:t>Overtime Rate</a:t>
          </a:r>
        </a:p>
        <a:p>
          <a:pPr algn="l"/>
          <a:r>
            <a:rPr lang="en-AU" sz="1400" baseline="0">
              <a:solidFill>
                <a:schemeClr val="lt1"/>
              </a:solidFill>
              <a:effectLst/>
              <a:latin typeface="+mn-lt"/>
              <a:ea typeface="+mn-ea"/>
              <a:cs typeface="+mn-cs"/>
            </a:rPr>
            <a:t>* In </a:t>
          </a:r>
          <a:r>
            <a:rPr lang="en-AU" sz="1400" b="1" baseline="0">
              <a:solidFill>
                <a:schemeClr val="lt1"/>
              </a:solidFill>
              <a:effectLst/>
              <a:latin typeface="+mn-lt"/>
              <a:ea typeface="+mn-ea"/>
              <a:cs typeface="+mn-cs"/>
            </a:rPr>
            <a:t>G8</a:t>
          </a:r>
          <a:r>
            <a:rPr lang="en-AU" sz="1400" baseline="0">
              <a:solidFill>
                <a:schemeClr val="lt1"/>
              </a:solidFill>
              <a:effectLst/>
              <a:latin typeface="+mn-lt"/>
              <a:ea typeface="+mn-ea"/>
              <a:cs typeface="+mn-cs"/>
            </a:rPr>
            <a:t> add </a:t>
          </a:r>
          <a:r>
            <a:rPr lang="en-AU" sz="1400" b="1" baseline="0">
              <a:solidFill>
                <a:schemeClr val="lt1"/>
              </a:solidFill>
              <a:effectLst/>
              <a:latin typeface="+mn-lt"/>
              <a:ea typeface="+mn-ea"/>
              <a:cs typeface="+mn-cs"/>
            </a:rPr>
            <a:t>Regular Pay</a:t>
          </a:r>
          <a:r>
            <a:rPr lang="en-AU" sz="1400" baseline="0">
              <a:solidFill>
                <a:schemeClr val="lt1"/>
              </a:solidFill>
              <a:effectLst/>
              <a:latin typeface="+mn-lt"/>
              <a:ea typeface="+mn-ea"/>
              <a:cs typeface="+mn-cs"/>
            </a:rPr>
            <a:t> to </a:t>
          </a:r>
          <a:r>
            <a:rPr lang="en-AU" sz="1400" b="1" baseline="0">
              <a:solidFill>
                <a:schemeClr val="lt1"/>
              </a:solidFill>
              <a:effectLst/>
              <a:latin typeface="+mn-lt"/>
              <a:ea typeface="+mn-ea"/>
              <a:cs typeface="+mn-cs"/>
            </a:rPr>
            <a:t>Overtime Pay</a:t>
          </a:r>
        </a:p>
        <a:p>
          <a:pPr algn="l"/>
          <a:r>
            <a:rPr lang="en-AU" sz="1400" baseline="0">
              <a:solidFill>
                <a:schemeClr val="lt1"/>
              </a:solidFill>
              <a:effectLst/>
              <a:latin typeface="+mn-lt"/>
              <a:ea typeface="+mn-ea"/>
              <a:cs typeface="+mn-cs"/>
            </a:rPr>
            <a:t>* Use the fill handle to copy all three calculations down to row 21</a:t>
          </a:r>
        </a:p>
        <a:p>
          <a:pPr algn="l"/>
          <a:r>
            <a:rPr lang="en-AU" sz="1400" baseline="0">
              <a:solidFill>
                <a:schemeClr val="lt1"/>
              </a:solidFill>
              <a:effectLst/>
              <a:latin typeface="+mn-lt"/>
              <a:ea typeface="+mn-ea"/>
              <a:cs typeface="+mn-cs"/>
            </a:rPr>
            <a:t>* Add the totals for each column in cells </a:t>
          </a:r>
          <a:r>
            <a:rPr lang="en-AU" sz="1400" b="1" baseline="0">
              <a:solidFill>
                <a:schemeClr val="lt1"/>
              </a:solidFill>
              <a:effectLst/>
              <a:latin typeface="+mn-lt"/>
              <a:ea typeface="+mn-ea"/>
              <a:cs typeface="+mn-cs"/>
            </a:rPr>
            <a:t>D22</a:t>
          </a:r>
          <a:r>
            <a:rPr lang="en-AU" sz="1400" baseline="0">
              <a:solidFill>
                <a:schemeClr val="lt1"/>
              </a:solidFill>
              <a:effectLst/>
              <a:latin typeface="+mn-lt"/>
              <a:ea typeface="+mn-ea"/>
              <a:cs typeface="+mn-cs"/>
            </a:rPr>
            <a:t> to </a:t>
          </a:r>
          <a:r>
            <a:rPr lang="en-AU" sz="1400" b="1" baseline="0">
              <a:solidFill>
                <a:schemeClr val="lt1"/>
              </a:solidFill>
              <a:effectLst/>
              <a:latin typeface="+mn-lt"/>
              <a:ea typeface="+mn-ea"/>
              <a:cs typeface="+mn-cs"/>
            </a:rPr>
            <a:t>G22</a:t>
          </a:r>
        </a:p>
        <a:p>
          <a:pPr algn="l"/>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Merge and Center</a:t>
          </a:r>
          <a:r>
            <a:rPr lang="en-AU" sz="1400" baseline="0">
              <a:solidFill>
                <a:schemeClr val="lt1"/>
              </a:solidFill>
              <a:effectLst/>
              <a:latin typeface="+mn-lt"/>
              <a:ea typeface="+mn-ea"/>
              <a:cs typeface="+mn-cs"/>
            </a:rPr>
            <a:t> cells </a:t>
          </a:r>
          <a:r>
            <a:rPr lang="en-AU" sz="1400" b="1" baseline="0">
              <a:solidFill>
                <a:schemeClr val="lt1"/>
              </a:solidFill>
              <a:effectLst/>
              <a:latin typeface="+mn-lt"/>
              <a:ea typeface="+mn-ea"/>
              <a:cs typeface="+mn-cs"/>
            </a:rPr>
            <a:t>A1:G1</a:t>
          </a:r>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Accent 1</a:t>
          </a:r>
          <a:r>
            <a:rPr lang="en-AU" sz="1400" baseline="0">
              <a:solidFill>
                <a:schemeClr val="lt1"/>
              </a:solidFill>
              <a:effectLst/>
              <a:latin typeface="+mn-lt"/>
              <a:ea typeface="+mn-ea"/>
              <a:cs typeface="+mn-cs"/>
            </a:rPr>
            <a:t> and increase the Font size to 36</a:t>
          </a:r>
        </a:p>
        <a:p>
          <a:pPr algn="l"/>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Merge and Center</a:t>
          </a:r>
          <a:r>
            <a:rPr lang="en-AU" sz="1400" baseline="0">
              <a:solidFill>
                <a:schemeClr val="lt1"/>
              </a:solidFill>
              <a:effectLst/>
              <a:latin typeface="+mn-lt"/>
              <a:ea typeface="+mn-ea"/>
              <a:cs typeface="+mn-cs"/>
            </a:rPr>
            <a:t> cells </a:t>
          </a:r>
          <a:r>
            <a:rPr lang="en-AU" sz="1400" b="1" baseline="0">
              <a:solidFill>
                <a:schemeClr val="lt1"/>
              </a:solidFill>
              <a:effectLst/>
              <a:latin typeface="+mn-lt"/>
              <a:ea typeface="+mn-ea"/>
              <a:cs typeface="+mn-cs"/>
            </a:rPr>
            <a:t>A2:G2</a:t>
          </a:r>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Heading 4</a:t>
          </a:r>
        </a:p>
        <a:p>
          <a:pPr algn="l"/>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Accent 1</a:t>
          </a:r>
          <a:r>
            <a:rPr lang="en-AU" sz="1400" baseline="0">
              <a:solidFill>
                <a:schemeClr val="lt1"/>
              </a:solidFill>
              <a:effectLst/>
              <a:latin typeface="+mn-lt"/>
              <a:ea typeface="+mn-ea"/>
              <a:cs typeface="+mn-cs"/>
            </a:rPr>
            <a:t> to cells </a:t>
          </a:r>
          <a:r>
            <a:rPr lang="en-AU" sz="1400" b="1" baseline="0">
              <a:solidFill>
                <a:schemeClr val="lt1"/>
              </a:solidFill>
              <a:effectLst/>
              <a:latin typeface="+mn-lt"/>
              <a:ea typeface="+mn-ea"/>
              <a:cs typeface="+mn-cs"/>
            </a:rPr>
            <a:t>A4:A5</a:t>
          </a:r>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F4:F5</a:t>
          </a:r>
          <a:r>
            <a:rPr lang="en-AU" sz="1400" baseline="0">
              <a:solidFill>
                <a:schemeClr val="lt1"/>
              </a:solidFill>
              <a:effectLst/>
              <a:latin typeface="+mn-lt"/>
              <a:ea typeface="+mn-ea"/>
              <a:cs typeface="+mn-cs"/>
            </a:rPr>
            <a:t> and </a:t>
          </a:r>
          <a:r>
            <a:rPr lang="en-AU" sz="1400" b="1" baseline="0">
              <a:solidFill>
                <a:schemeClr val="lt1"/>
              </a:solidFill>
              <a:effectLst/>
              <a:latin typeface="+mn-lt"/>
              <a:ea typeface="+mn-ea"/>
              <a:cs typeface="+mn-cs"/>
            </a:rPr>
            <a:t>A7:G7</a:t>
          </a:r>
          <a:r>
            <a:rPr lang="en-AU" sz="1400" baseline="0">
              <a:solidFill>
                <a:schemeClr val="lt1"/>
              </a:solidFill>
              <a:effectLst/>
              <a:latin typeface="+mn-lt"/>
              <a:ea typeface="+mn-ea"/>
              <a:cs typeface="+mn-cs"/>
            </a:rPr>
            <a:t> (try using </a:t>
          </a:r>
          <a:r>
            <a:rPr lang="en-AU" sz="1400" b="1" baseline="0">
              <a:solidFill>
                <a:schemeClr val="lt1"/>
              </a:solidFill>
              <a:effectLst/>
              <a:latin typeface="+mn-lt"/>
              <a:ea typeface="+mn-ea"/>
              <a:cs typeface="+mn-cs"/>
            </a:rPr>
            <a:t>Format Painter</a:t>
          </a:r>
          <a:r>
            <a:rPr lang="en-AU" sz="1400" baseline="0">
              <a:solidFill>
                <a:schemeClr val="lt1"/>
              </a:solidFill>
              <a:effectLst/>
              <a:latin typeface="+mn-lt"/>
              <a:ea typeface="+mn-ea"/>
              <a:cs typeface="+mn-cs"/>
            </a:rPr>
            <a:t>)</a:t>
          </a:r>
        </a:p>
        <a:p>
          <a:pPr algn="l"/>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20% Accent 1</a:t>
          </a:r>
          <a:r>
            <a:rPr lang="en-AU" sz="1400" baseline="0">
              <a:solidFill>
                <a:schemeClr val="lt1"/>
              </a:solidFill>
              <a:effectLst/>
              <a:latin typeface="+mn-lt"/>
              <a:ea typeface="+mn-ea"/>
              <a:cs typeface="+mn-cs"/>
            </a:rPr>
            <a:t> to cells </a:t>
          </a:r>
          <a:r>
            <a:rPr lang="en-AU" sz="1400" b="1" baseline="0">
              <a:solidFill>
                <a:schemeClr val="lt1"/>
              </a:solidFill>
              <a:effectLst/>
              <a:latin typeface="+mn-lt"/>
              <a:ea typeface="+mn-ea"/>
              <a:cs typeface="+mn-cs"/>
            </a:rPr>
            <a:t>B4:B5</a:t>
          </a:r>
          <a:r>
            <a:rPr lang="en-AU" sz="1400" baseline="0">
              <a:solidFill>
                <a:schemeClr val="lt1"/>
              </a:solidFill>
              <a:effectLst/>
              <a:latin typeface="+mn-lt"/>
              <a:ea typeface="+mn-ea"/>
              <a:cs typeface="+mn-cs"/>
            </a:rPr>
            <a:t> and </a:t>
          </a:r>
          <a:r>
            <a:rPr lang="en-AU" sz="1400" b="1" baseline="0">
              <a:solidFill>
                <a:schemeClr val="lt1"/>
              </a:solidFill>
              <a:effectLst/>
              <a:latin typeface="+mn-lt"/>
              <a:ea typeface="+mn-ea"/>
              <a:cs typeface="+mn-cs"/>
            </a:rPr>
            <a:t>G4:G5</a:t>
          </a:r>
        </a:p>
        <a:p>
          <a:pPr algn="l"/>
          <a:r>
            <a:rPr lang="en-AU" sz="1400" baseline="0">
              <a:solidFill>
                <a:schemeClr val="lt1"/>
              </a:solidFill>
              <a:effectLst/>
              <a:latin typeface="+mn-lt"/>
              <a:ea typeface="+mn-ea"/>
              <a:cs typeface="+mn-cs"/>
            </a:rPr>
            <a:t>* Apply the </a:t>
          </a:r>
          <a:r>
            <a:rPr lang="en-AU" sz="1400" b="1" baseline="0">
              <a:solidFill>
                <a:schemeClr val="lt1"/>
              </a:solidFill>
              <a:effectLst/>
              <a:latin typeface="+mn-lt"/>
              <a:ea typeface="+mn-ea"/>
              <a:cs typeface="+mn-cs"/>
            </a:rPr>
            <a:t>Total</a:t>
          </a:r>
          <a:r>
            <a:rPr lang="en-AU" sz="1400" baseline="0">
              <a:solidFill>
                <a:schemeClr val="lt1"/>
              </a:solidFill>
              <a:effectLst/>
              <a:latin typeface="+mn-lt"/>
              <a:ea typeface="+mn-ea"/>
              <a:cs typeface="+mn-cs"/>
            </a:rPr>
            <a:t> Style to </a:t>
          </a:r>
          <a:r>
            <a:rPr lang="en-AU" sz="1400" b="1" baseline="0">
              <a:solidFill>
                <a:schemeClr val="lt1"/>
              </a:solidFill>
              <a:effectLst/>
              <a:latin typeface="+mn-lt"/>
              <a:ea typeface="+mn-ea"/>
              <a:cs typeface="+mn-cs"/>
            </a:rPr>
            <a:t>A22:G22</a:t>
          </a:r>
        </a:p>
        <a:p>
          <a:pPr algn="l"/>
          <a:r>
            <a:rPr lang="en-AU" sz="1400" baseline="0">
              <a:solidFill>
                <a:schemeClr val="lt1"/>
              </a:solidFill>
              <a:effectLst/>
              <a:latin typeface="+mn-lt"/>
              <a:ea typeface="+mn-ea"/>
              <a:cs typeface="+mn-cs"/>
            </a:rPr>
            <a:t>* Format all the monetary values as </a:t>
          </a:r>
          <a:r>
            <a:rPr lang="en-AU" sz="1400" b="1" baseline="0">
              <a:solidFill>
                <a:schemeClr val="lt1"/>
              </a:solidFill>
              <a:effectLst/>
              <a:latin typeface="+mn-lt"/>
              <a:ea typeface="+mn-ea"/>
              <a:cs typeface="+mn-cs"/>
            </a:rPr>
            <a:t>Currency</a:t>
          </a:r>
        </a:p>
        <a:p>
          <a:pPr algn="l"/>
          <a:r>
            <a:rPr lang="en-AU" sz="1400" baseline="0">
              <a:solidFill>
                <a:schemeClr val="lt1"/>
              </a:solidFill>
              <a:effectLst/>
              <a:latin typeface="+mn-lt"/>
              <a:ea typeface="+mn-ea"/>
              <a:cs typeface="+mn-cs"/>
            </a:rPr>
            <a:t>* Change the Theme to </a:t>
          </a:r>
          <a:r>
            <a:rPr lang="en-AU" sz="1400" b="1" baseline="0">
              <a:solidFill>
                <a:schemeClr val="lt1"/>
              </a:solidFill>
              <a:effectLst/>
              <a:latin typeface="+mn-lt"/>
              <a:ea typeface="+mn-ea"/>
              <a:cs typeface="+mn-cs"/>
            </a:rPr>
            <a:t>Slice</a:t>
          </a:r>
          <a:r>
            <a:rPr lang="en-AU" sz="1400" baseline="0">
              <a:solidFill>
                <a:schemeClr val="lt1"/>
              </a:solidFill>
              <a:effectLst/>
              <a:latin typeface="+mn-lt"/>
              <a:ea typeface="+mn-ea"/>
              <a:cs typeface="+mn-cs"/>
            </a:rPr>
            <a:t> (or any other of your choosing)</a:t>
          </a:r>
        </a:p>
        <a:p>
          <a:pPr algn="l"/>
          <a:r>
            <a:rPr lang="en-AU" sz="1400" baseline="0">
              <a:solidFill>
                <a:schemeClr val="lt1"/>
              </a:solidFill>
              <a:effectLst/>
              <a:latin typeface="+mn-lt"/>
              <a:ea typeface="+mn-ea"/>
              <a:cs typeface="+mn-cs"/>
            </a:rPr>
            <a:t>* Add any personal touches (e.g. You may want to go to the View Tab and untick Gridlines)</a:t>
          </a:r>
        </a:p>
        <a:p>
          <a:pPr algn="l"/>
          <a:r>
            <a:rPr lang="en-AU" sz="1400" baseline="0">
              <a:solidFill>
                <a:schemeClr val="lt1"/>
              </a:solidFill>
              <a:effectLst/>
              <a:latin typeface="+mn-lt"/>
              <a:ea typeface="+mn-ea"/>
              <a:cs typeface="+mn-cs"/>
            </a:rPr>
            <a:t>* Delete this box, Save your Workbook and Congratulate yourself!</a:t>
          </a:r>
          <a:endParaRPr lang="en-AU" sz="1400" baseline="0"/>
        </a:p>
      </xdr:txBody>
    </xdr:sp>
    <xdr:clientData/>
  </xdr:twoCellAnchor>
  <xdr:twoCellAnchor editAs="oneCell">
    <xdr:from>
      <xdr:col>10</xdr:col>
      <xdr:colOff>512212</xdr:colOff>
      <xdr:row>27</xdr:row>
      <xdr:rowOff>112453</xdr:rowOff>
    </xdr:from>
    <xdr:to>
      <xdr:col>17</xdr:col>
      <xdr:colOff>149167</xdr:colOff>
      <xdr:row>37</xdr:row>
      <xdr:rowOff>91827</xdr:rowOff>
    </xdr:to>
    <xdr:pic>
      <xdr:nvPicPr>
        <xdr:cNvPr id="4" name="Picture 3">
          <a:extLst>
            <a:ext uri="{FF2B5EF4-FFF2-40B4-BE49-F238E27FC236}">
              <a16:creationId xmlns:a16="http://schemas.microsoft.com/office/drawing/2014/main" id="{55A4657B-910E-42D3-B238-313F6DD9C9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7576" y="6647180"/>
          <a:ext cx="4324409" cy="2288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177100</xdr:colOff>
      <xdr:row>2</xdr:row>
      <xdr:rowOff>87816</xdr:rowOff>
    </xdr:from>
    <xdr:to>
      <xdr:col>11</xdr:col>
      <xdr:colOff>343599</xdr:colOff>
      <xdr:row>18</xdr:row>
      <xdr:rowOff>132697</xdr:rowOff>
    </xdr:to>
    <xdr:grpSp>
      <xdr:nvGrpSpPr>
        <xdr:cNvPr id="3" name="Group 2">
          <a:extLst>
            <a:ext uri="{FF2B5EF4-FFF2-40B4-BE49-F238E27FC236}">
              <a16:creationId xmlns:a16="http://schemas.microsoft.com/office/drawing/2014/main" id="{6E394B1A-326E-2A16-3B52-ADC5B191A258}"/>
            </a:ext>
          </a:extLst>
        </xdr:cNvPr>
        <xdr:cNvGrpSpPr/>
      </xdr:nvGrpSpPr>
      <xdr:grpSpPr>
        <a:xfrm>
          <a:off x="4139500" y="430716"/>
          <a:ext cx="3468499" cy="2788081"/>
          <a:chOff x="4126800" y="411666"/>
          <a:chExt cx="3468499" cy="2788081"/>
        </a:xfrm>
      </xdr:grpSpPr>
      <xdr:sp macro="" textlink="">
        <xdr:nvSpPr>
          <xdr:cNvPr id="4" name="Arrow: Circular 3">
            <a:extLst>
              <a:ext uri="{FF2B5EF4-FFF2-40B4-BE49-F238E27FC236}">
                <a16:creationId xmlns:a16="http://schemas.microsoft.com/office/drawing/2014/main" id="{4AC0B198-DC9A-1504-E951-46948707F763}"/>
              </a:ext>
            </a:extLst>
          </xdr:cNvPr>
          <xdr:cNvSpPr/>
        </xdr:nvSpPr>
        <xdr:spPr>
          <a:xfrm>
            <a:off x="4534800" y="411666"/>
            <a:ext cx="2754125" cy="2754125"/>
          </a:xfrm>
          <a:prstGeom prst="circularArrow">
            <a:avLst>
              <a:gd name="adj1" fmla="val 5544"/>
              <a:gd name="adj2" fmla="val 330680"/>
              <a:gd name="adj3" fmla="val 13874294"/>
              <a:gd name="adj4" fmla="val 17326384"/>
              <a:gd name="adj5" fmla="val 5757"/>
            </a:avLst>
          </a:prstGeom>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sp>
      <xdr:sp macro="" textlink="">
        <xdr:nvSpPr>
          <xdr:cNvPr id="5" name="Free-form: Shape 4">
            <a:extLst>
              <a:ext uri="{FF2B5EF4-FFF2-40B4-BE49-F238E27FC236}">
                <a16:creationId xmlns:a16="http://schemas.microsoft.com/office/drawing/2014/main" id="{9FA5DD54-DA27-07BA-D2D6-84719E466275}"/>
              </a:ext>
            </a:extLst>
          </xdr:cNvPr>
          <xdr:cNvSpPr/>
        </xdr:nvSpPr>
        <xdr:spPr>
          <a:xfrm>
            <a:off x="5243785" y="457852"/>
            <a:ext cx="1234529" cy="617264"/>
          </a:xfrm>
          <a:custGeom>
            <a:avLst/>
            <a:gdLst>
              <a:gd name="csX0" fmla="*/ 0 w 1234529"/>
              <a:gd name="csY0" fmla="*/ 102879 h 617264"/>
              <a:gd name="csX1" fmla="*/ 102879 w 1234529"/>
              <a:gd name="csY1" fmla="*/ 0 h 617264"/>
              <a:gd name="csX2" fmla="*/ 1131650 w 1234529"/>
              <a:gd name="csY2" fmla="*/ 0 h 617264"/>
              <a:gd name="csX3" fmla="*/ 1234529 w 1234529"/>
              <a:gd name="csY3" fmla="*/ 102879 h 617264"/>
              <a:gd name="csX4" fmla="*/ 1234529 w 1234529"/>
              <a:gd name="csY4" fmla="*/ 514385 h 617264"/>
              <a:gd name="csX5" fmla="*/ 1131650 w 1234529"/>
              <a:gd name="csY5" fmla="*/ 617264 h 617264"/>
              <a:gd name="csX6" fmla="*/ 102879 w 1234529"/>
              <a:gd name="csY6" fmla="*/ 617264 h 617264"/>
              <a:gd name="csX7" fmla="*/ 0 w 1234529"/>
              <a:gd name="csY7" fmla="*/ 514385 h 617264"/>
              <a:gd name="csX8" fmla="*/ 0 w 1234529"/>
              <a:gd name="csY8" fmla="*/ 102879 h 6172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34529" h="617264">
                <a:moveTo>
                  <a:pt x="0" y="102879"/>
                </a:moveTo>
                <a:cubicBezTo>
                  <a:pt x="0" y="46060"/>
                  <a:pt x="46060" y="0"/>
                  <a:pt x="102879" y="0"/>
                </a:cubicBezTo>
                <a:lnTo>
                  <a:pt x="1131650" y="0"/>
                </a:lnTo>
                <a:cubicBezTo>
                  <a:pt x="1188469" y="0"/>
                  <a:pt x="1234529" y="46060"/>
                  <a:pt x="1234529" y="102879"/>
                </a:cubicBezTo>
                <a:lnTo>
                  <a:pt x="1234529" y="514385"/>
                </a:lnTo>
                <a:cubicBezTo>
                  <a:pt x="1234529" y="571204"/>
                  <a:pt x="1188469" y="617264"/>
                  <a:pt x="1131650" y="617264"/>
                </a:cubicBezTo>
                <a:lnTo>
                  <a:pt x="102879" y="617264"/>
                </a:lnTo>
                <a:cubicBezTo>
                  <a:pt x="46060" y="617264"/>
                  <a:pt x="0" y="571204"/>
                  <a:pt x="0" y="514385"/>
                </a:cubicBezTo>
                <a:lnTo>
                  <a:pt x="0" y="10287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25382" tIns="125382" rIns="125382" bIns="125382" numCol="1" spcCol="1270" anchor="ctr" anchorCtr="0">
            <a:noAutofit/>
          </a:bodyPr>
          <a:lstStyle/>
          <a:p>
            <a:pPr marL="0" lvl="0" indent="0" algn="ctr" defTabSz="1111250">
              <a:lnSpc>
                <a:spcPct val="90000"/>
              </a:lnSpc>
              <a:spcBef>
                <a:spcPct val="0"/>
              </a:spcBef>
              <a:spcAft>
                <a:spcPct val="35000"/>
              </a:spcAft>
              <a:buNone/>
            </a:pPr>
            <a:endParaRPr lang="en-GB" sz="2500" kern="1200"/>
          </a:p>
        </xdr:txBody>
      </xdr:sp>
      <xdr:sp macro="" textlink="">
        <xdr:nvSpPr>
          <xdr:cNvPr id="6" name="Free-form: Shape 5">
            <a:extLst>
              <a:ext uri="{FF2B5EF4-FFF2-40B4-BE49-F238E27FC236}">
                <a16:creationId xmlns:a16="http://schemas.microsoft.com/office/drawing/2014/main" id="{EF2316C7-BB09-D063-55AD-15AF5B9D9AA5}"/>
              </a:ext>
            </a:extLst>
          </xdr:cNvPr>
          <xdr:cNvSpPr/>
        </xdr:nvSpPr>
        <xdr:spPr>
          <a:xfrm>
            <a:off x="6360770" y="1269388"/>
            <a:ext cx="1234529" cy="617264"/>
          </a:xfrm>
          <a:custGeom>
            <a:avLst/>
            <a:gdLst>
              <a:gd name="csX0" fmla="*/ 0 w 1234529"/>
              <a:gd name="csY0" fmla="*/ 102879 h 617264"/>
              <a:gd name="csX1" fmla="*/ 102879 w 1234529"/>
              <a:gd name="csY1" fmla="*/ 0 h 617264"/>
              <a:gd name="csX2" fmla="*/ 1131650 w 1234529"/>
              <a:gd name="csY2" fmla="*/ 0 h 617264"/>
              <a:gd name="csX3" fmla="*/ 1234529 w 1234529"/>
              <a:gd name="csY3" fmla="*/ 102879 h 617264"/>
              <a:gd name="csX4" fmla="*/ 1234529 w 1234529"/>
              <a:gd name="csY4" fmla="*/ 514385 h 617264"/>
              <a:gd name="csX5" fmla="*/ 1131650 w 1234529"/>
              <a:gd name="csY5" fmla="*/ 617264 h 617264"/>
              <a:gd name="csX6" fmla="*/ 102879 w 1234529"/>
              <a:gd name="csY6" fmla="*/ 617264 h 617264"/>
              <a:gd name="csX7" fmla="*/ 0 w 1234529"/>
              <a:gd name="csY7" fmla="*/ 514385 h 617264"/>
              <a:gd name="csX8" fmla="*/ 0 w 1234529"/>
              <a:gd name="csY8" fmla="*/ 102879 h 6172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34529" h="617264">
                <a:moveTo>
                  <a:pt x="0" y="102879"/>
                </a:moveTo>
                <a:cubicBezTo>
                  <a:pt x="0" y="46060"/>
                  <a:pt x="46060" y="0"/>
                  <a:pt x="102879" y="0"/>
                </a:cubicBezTo>
                <a:lnTo>
                  <a:pt x="1131650" y="0"/>
                </a:lnTo>
                <a:cubicBezTo>
                  <a:pt x="1188469" y="0"/>
                  <a:pt x="1234529" y="46060"/>
                  <a:pt x="1234529" y="102879"/>
                </a:cubicBezTo>
                <a:lnTo>
                  <a:pt x="1234529" y="514385"/>
                </a:lnTo>
                <a:cubicBezTo>
                  <a:pt x="1234529" y="571204"/>
                  <a:pt x="1188469" y="617264"/>
                  <a:pt x="1131650" y="617264"/>
                </a:cubicBezTo>
                <a:lnTo>
                  <a:pt x="102879" y="617264"/>
                </a:lnTo>
                <a:cubicBezTo>
                  <a:pt x="46060" y="617264"/>
                  <a:pt x="0" y="571204"/>
                  <a:pt x="0" y="514385"/>
                </a:cubicBezTo>
                <a:lnTo>
                  <a:pt x="0" y="10287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25382" tIns="125382" rIns="125382" bIns="125382" numCol="1" spcCol="1270" anchor="ctr" anchorCtr="0">
            <a:noAutofit/>
          </a:bodyPr>
          <a:lstStyle/>
          <a:p>
            <a:pPr marL="0" lvl="0" indent="0" algn="ctr" defTabSz="1111250">
              <a:lnSpc>
                <a:spcPct val="90000"/>
              </a:lnSpc>
              <a:spcBef>
                <a:spcPct val="0"/>
              </a:spcBef>
              <a:spcAft>
                <a:spcPct val="35000"/>
              </a:spcAft>
              <a:buNone/>
            </a:pPr>
            <a:endParaRPr lang="en-GB" sz="2500" kern="1200"/>
          </a:p>
        </xdr:txBody>
      </xdr:sp>
      <xdr:sp macro="" textlink="">
        <xdr:nvSpPr>
          <xdr:cNvPr id="7" name="Free-form: Shape 6">
            <a:extLst>
              <a:ext uri="{FF2B5EF4-FFF2-40B4-BE49-F238E27FC236}">
                <a16:creationId xmlns:a16="http://schemas.microsoft.com/office/drawing/2014/main" id="{60AC6F4C-3C81-7289-42C3-ED55C1B1B8DF}"/>
              </a:ext>
            </a:extLst>
          </xdr:cNvPr>
          <xdr:cNvSpPr/>
        </xdr:nvSpPr>
        <xdr:spPr>
          <a:xfrm>
            <a:off x="5934119" y="2582483"/>
            <a:ext cx="1234529" cy="617264"/>
          </a:xfrm>
          <a:custGeom>
            <a:avLst/>
            <a:gdLst>
              <a:gd name="csX0" fmla="*/ 0 w 1234529"/>
              <a:gd name="csY0" fmla="*/ 102879 h 617264"/>
              <a:gd name="csX1" fmla="*/ 102879 w 1234529"/>
              <a:gd name="csY1" fmla="*/ 0 h 617264"/>
              <a:gd name="csX2" fmla="*/ 1131650 w 1234529"/>
              <a:gd name="csY2" fmla="*/ 0 h 617264"/>
              <a:gd name="csX3" fmla="*/ 1234529 w 1234529"/>
              <a:gd name="csY3" fmla="*/ 102879 h 617264"/>
              <a:gd name="csX4" fmla="*/ 1234529 w 1234529"/>
              <a:gd name="csY4" fmla="*/ 514385 h 617264"/>
              <a:gd name="csX5" fmla="*/ 1131650 w 1234529"/>
              <a:gd name="csY5" fmla="*/ 617264 h 617264"/>
              <a:gd name="csX6" fmla="*/ 102879 w 1234529"/>
              <a:gd name="csY6" fmla="*/ 617264 h 617264"/>
              <a:gd name="csX7" fmla="*/ 0 w 1234529"/>
              <a:gd name="csY7" fmla="*/ 514385 h 617264"/>
              <a:gd name="csX8" fmla="*/ 0 w 1234529"/>
              <a:gd name="csY8" fmla="*/ 102879 h 6172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34529" h="617264">
                <a:moveTo>
                  <a:pt x="0" y="102879"/>
                </a:moveTo>
                <a:cubicBezTo>
                  <a:pt x="0" y="46060"/>
                  <a:pt x="46060" y="0"/>
                  <a:pt x="102879" y="0"/>
                </a:cubicBezTo>
                <a:lnTo>
                  <a:pt x="1131650" y="0"/>
                </a:lnTo>
                <a:cubicBezTo>
                  <a:pt x="1188469" y="0"/>
                  <a:pt x="1234529" y="46060"/>
                  <a:pt x="1234529" y="102879"/>
                </a:cubicBezTo>
                <a:lnTo>
                  <a:pt x="1234529" y="514385"/>
                </a:lnTo>
                <a:cubicBezTo>
                  <a:pt x="1234529" y="571204"/>
                  <a:pt x="1188469" y="617264"/>
                  <a:pt x="1131650" y="617264"/>
                </a:cubicBezTo>
                <a:lnTo>
                  <a:pt x="102879" y="617264"/>
                </a:lnTo>
                <a:cubicBezTo>
                  <a:pt x="46060" y="617264"/>
                  <a:pt x="0" y="571204"/>
                  <a:pt x="0" y="514385"/>
                </a:cubicBezTo>
                <a:lnTo>
                  <a:pt x="0" y="10287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25382" tIns="125382" rIns="125382" bIns="125382" numCol="1" spcCol="1270" anchor="ctr" anchorCtr="0">
            <a:noAutofit/>
          </a:bodyPr>
          <a:lstStyle/>
          <a:p>
            <a:pPr marL="0" lvl="0" indent="0" algn="ctr" defTabSz="1111250">
              <a:lnSpc>
                <a:spcPct val="90000"/>
              </a:lnSpc>
              <a:spcBef>
                <a:spcPct val="0"/>
              </a:spcBef>
              <a:spcAft>
                <a:spcPct val="35000"/>
              </a:spcAft>
              <a:buNone/>
            </a:pPr>
            <a:endParaRPr lang="en-GB" sz="2500" kern="1200"/>
          </a:p>
        </xdr:txBody>
      </xdr:sp>
      <xdr:sp macro="" textlink="">
        <xdr:nvSpPr>
          <xdr:cNvPr id="8" name="Free-form: Shape 7">
            <a:extLst>
              <a:ext uri="{FF2B5EF4-FFF2-40B4-BE49-F238E27FC236}">
                <a16:creationId xmlns:a16="http://schemas.microsoft.com/office/drawing/2014/main" id="{859D3647-6605-DC08-FE1B-37234AC7B73E}"/>
              </a:ext>
            </a:extLst>
          </xdr:cNvPr>
          <xdr:cNvSpPr/>
        </xdr:nvSpPr>
        <xdr:spPr>
          <a:xfrm>
            <a:off x="4553450" y="2582483"/>
            <a:ext cx="1234529" cy="617264"/>
          </a:xfrm>
          <a:custGeom>
            <a:avLst/>
            <a:gdLst>
              <a:gd name="csX0" fmla="*/ 0 w 1234529"/>
              <a:gd name="csY0" fmla="*/ 102879 h 617264"/>
              <a:gd name="csX1" fmla="*/ 102879 w 1234529"/>
              <a:gd name="csY1" fmla="*/ 0 h 617264"/>
              <a:gd name="csX2" fmla="*/ 1131650 w 1234529"/>
              <a:gd name="csY2" fmla="*/ 0 h 617264"/>
              <a:gd name="csX3" fmla="*/ 1234529 w 1234529"/>
              <a:gd name="csY3" fmla="*/ 102879 h 617264"/>
              <a:gd name="csX4" fmla="*/ 1234529 w 1234529"/>
              <a:gd name="csY4" fmla="*/ 514385 h 617264"/>
              <a:gd name="csX5" fmla="*/ 1131650 w 1234529"/>
              <a:gd name="csY5" fmla="*/ 617264 h 617264"/>
              <a:gd name="csX6" fmla="*/ 102879 w 1234529"/>
              <a:gd name="csY6" fmla="*/ 617264 h 617264"/>
              <a:gd name="csX7" fmla="*/ 0 w 1234529"/>
              <a:gd name="csY7" fmla="*/ 514385 h 617264"/>
              <a:gd name="csX8" fmla="*/ 0 w 1234529"/>
              <a:gd name="csY8" fmla="*/ 102879 h 6172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34529" h="617264">
                <a:moveTo>
                  <a:pt x="0" y="102879"/>
                </a:moveTo>
                <a:cubicBezTo>
                  <a:pt x="0" y="46060"/>
                  <a:pt x="46060" y="0"/>
                  <a:pt x="102879" y="0"/>
                </a:cubicBezTo>
                <a:lnTo>
                  <a:pt x="1131650" y="0"/>
                </a:lnTo>
                <a:cubicBezTo>
                  <a:pt x="1188469" y="0"/>
                  <a:pt x="1234529" y="46060"/>
                  <a:pt x="1234529" y="102879"/>
                </a:cubicBezTo>
                <a:lnTo>
                  <a:pt x="1234529" y="514385"/>
                </a:lnTo>
                <a:cubicBezTo>
                  <a:pt x="1234529" y="571204"/>
                  <a:pt x="1188469" y="617264"/>
                  <a:pt x="1131650" y="617264"/>
                </a:cubicBezTo>
                <a:lnTo>
                  <a:pt x="102879" y="617264"/>
                </a:lnTo>
                <a:cubicBezTo>
                  <a:pt x="46060" y="617264"/>
                  <a:pt x="0" y="571204"/>
                  <a:pt x="0" y="514385"/>
                </a:cubicBezTo>
                <a:lnTo>
                  <a:pt x="0" y="10287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25382" tIns="125382" rIns="125382" bIns="125382" numCol="1" spcCol="1270" anchor="ctr" anchorCtr="0">
            <a:noAutofit/>
          </a:bodyPr>
          <a:lstStyle/>
          <a:p>
            <a:pPr marL="0" lvl="0" indent="0" algn="ctr" defTabSz="1111250">
              <a:lnSpc>
                <a:spcPct val="90000"/>
              </a:lnSpc>
              <a:spcBef>
                <a:spcPct val="0"/>
              </a:spcBef>
              <a:spcAft>
                <a:spcPct val="35000"/>
              </a:spcAft>
              <a:buNone/>
            </a:pPr>
            <a:endParaRPr lang="en-GB" sz="2500" kern="1200"/>
          </a:p>
        </xdr:txBody>
      </xdr:sp>
      <xdr:sp macro="" textlink="">
        <xdr:nvSpPr>
          <xdr:cNvPr id="9" name="Free-form: Shape 8">
            <a:extLst>
              <a:ext uri="{FF2B5EF4-FFF2-40B4-BE49-F238E27FC236}">
                <a16:creationId xmlns:a16="http://schemas.microsoft.com/office/drawing/2014/main" id="{024D2287-F9FE-DC60-43A0-0E42540A1C87}"/>
              </a:ext>
            </a:extLst>
          </xdr:cNvPr>
          <xdr:cNvSpPr/>
        </xdr:nvSpPr>
        <xdr:spPr>
          <a:xfrm>
            <a:off x="4126800" y="1269388"/>
            <a:ext cx="1234529" cy="617264"/>
          </a:xfrm>
          <a:custGeom>
            <a:avLst/>
            <a:gdLst>
              <a:gd name="csX0" fmla="*/ 0 w 1234529"/>
              <a:gd name="csY0" fmla="*/ 102879 h 617264"/>
              <a:gd name="csX1" fmla="*/ 102879 w 1234529"/>
              <a:gd name="csY1" fmla="*/ 0 h 617264"/>
              <a:gd name="csX2" fmla="*/ 1131650 w 1234529"/>
              <a:gd name="csY2" fmla="*/ 0 h 617264"/>
              <a:gd name="csX3" fmla="*/ 1234529 w 1234529"/>
              <a:gd name="csY3" fmla="*/ 102879 h 617264"/>
              <a:gd name="csX4" fmla="*/ 1234529 w 1234529"/>
              <a:gd name="csY4" fmla="*/ 514385 h 617264"/>
              <a:gd name="csX5" fmla="*/ 1131650 w 1234529"/>
              <a:gd name="csY5" fmla="*/ 617264 h 617264"/>
              <a:gd name="csX6" fmla="*/ 102879 w 1234529"/>
              <a:gd name="csY6" fmla="*/ 617264 h 617264"/>
              <a:gd name="csX7" fmla="*/ 0 w 1234529"/>
              <a:gd name="csY7" fmla="*/ 514385 h 617264"/>
              <a:gd name="csX8" fmla="*/ 0 w 1234529"/>
              <a:gd name="csY8" fmla="*/ 102879 h 6172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34529" h="617264">
                <a:moveTo>
                  <a:pt x="0" y="102879"/>
                </a:moveTo>
                <a:cubicBezTo>
                  <a:pt x="0" y="46060"/>
                  <a:pt x="46060" y="0"/>
                  <a:pt x="102879" y="0"/>
                </a:cubicBezTo>
                <a:lnTo>
                  <a:pt x="1131650" y="0"/>
                </a:lnTo>
                <a:cubicBezTo>
                  <a:pt x="1188469" y="0"/>
                  <a:pt x="1234529" y="46060"/>
                  <a:pt x="1234529" y="102879"/>
                </a:cubicBezTo>
                <a:lnTo>
                  <a:pt x="1234529" y="514385"/>
                </a:lnTo>
                <a:cubicBezTo>
                  <a:pt x="1234529" y="571204"/>
                  <a:pt x="1188469" y="617264"/>
                  <a:pt x="1131650" y="617264"/>
                </a:cubicBezTo>
                <a:lnTo>
                  <a:pt x="102879" y="617264"/>
                </a:lnTo>
                <a:cubicBezTo>
                  <a:pt x="46060" y="617264"/>
                  <a:pt x="0" y="571204"/>
                  <a:pt x="0" y="514385"/>
                </a:cubicBezTo>
                <a:lnTo>
                  <a:pt x="0" y="102879"/>
                </a:lnTo>
                <a:close/>
              </a:path>
            </a:pathLst>
          </a:custGeom>
        </xdr:spPr>
        <xdr:style>
          <a:lnRef idx="2">
            <a:schemeClr val="dk1"/>
          </a:lnRef>
          <a:fillRef idx="1">
            <a:schemeClr val="lt1"/>
          </a:fillRef>
          <a:effectRef idx="0">
            <a:schemeClr val="dk1"/>
          </a:effectRef>
          <a:fontRef idx="minor">
            <a:schemeClr val="dk1"/>
          </a:fontRef>
        </xdr:style>
        <xdr:txBody>
          <a:bodyPr spcFirstLastPara="0" vert="horz" wrap="square" lIns="125382" tIns="125382" rIns="125382" bIns="125382" numCol="1" spcCol="1270" anchor="ctr" anchorCtr="0">
            <a:noAutofit/>
          </a:bodyPr>
          <a:lstStyle/>
          <a:p>
            <a:pPr marL="0" lvl="0" indent="0" algn="ctr" defTabSz="1111250">
              <a:lnSpc>
                <a:spcPct val="90000"/>
              </a:lnSpc>
              <a:spcBef>
                <a:spcPct val="0"/>
              </a:spcBef>
              <a:spcAft>
                <a:spcPct val="35000"/>
              </a:spcAft>
              <a:buNone/>
            </a:pPr>
            <a:endParaRPr lang="en-GB" sz="2500" kern="1200"/>
          </a:p>
        </xdr:txBody>
      </xdr:sp>
    </xdr:grpSp>
    <xdr:clientData/>
  </xdr:twoCellAnchor>
  <xdr:twoCellAnchor>
    <xdr:from>
      <xdr:col>8</xdr:col>
      <xdr:colOff>139700</xdr:colOff>
      <xdr:row>7</xdr:row>
      <xdr:rowOff>82550</xdr:rowOff>
    </xdr:from>
    <xdr:to>
      <xdr:col>9</xdr:col>
      <xdr:colOff>393700</xdr:colOff>
      <xdr:row>12</xdr:row>
      <xdr:rowOff>139700</xdr:rowOff>
    </xdr:to>
    <xdr:sp macro="" textlink="">
      <xdr:nvSpPr>
        <xdr:cNvPr id="10" name="Oval 9">
          <a:extLst>
            <a:ext uri="{FF2B5EF4-FFF2-40B4-BE49-F238E27FC236}">
              <a16:creationId xmlns:a16="http://schemas.microsoft.com/office/drawing/2014/main" id="{C21B7E3C-5912-D5B2-A7E7-4DA9AEDF40E8}"/>
            </a:ext>
          </a:extLst>
        </xdr:cNvPr>
        <xdr:cNvSpPr/>
      </xdr:nvSpPr>
      <xdr:spPr>
        <a:xfrm>
          <a:off x="5422900" y="1282700"/>
          <a:ext cx="914400" cy="9144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opLeftCell="A7" workbookViewId="0">
      <selection activeCell="A23" sqref="A23"/>
    </sheetView>
  </sheetViews>
  <sheetFormatPr defaultColWidth="11.5" defaultRowHeight="13.5" x14ac:dyDescent="0.25"/>
  <cols>
    <col min="1" max="4" width="31.9140625" customWidth="1"/>
  </cols>
  <sheetData>
    <row r="1" spans="1:4" ht="88" customHeight="1" x14ac:dyDescent="0.25">
      <c r="A1" s="2" t="s">
        <v>21</v>
      </c>
      <c r="B1" s="2"/>
      <c r="C1" s="2"/>
      <c r="D1" s="2"/>
    </row>
    <row r="3" spans="1:4" s="1" customFormat="1" ht="18" x14ac:dyDescent="0.35">
      <c r="A3" s="1" t="s">
        <v>22</v>
      </c>
    </row>
    <row r="24" spans="1:1" s="1" customFormat="1" ht="18" x14ac:dyDescent="0.35">
      <c r="A24" s="1" t="s">
        <v>23</v>
      </c>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topLeftCell="A10" zoomScale="70" zoomScaleNormal="70" workbookViewId="0">
      <selection activeCell="E5" sqref="E5"/>
    </sheetView>
  </sheetViews>
  <sheetFormatPr defaultColWidth="8.75" defaultRowHeight="18" x14ac:dyDescent="0.35"/>
  <cols>
    <col min="1" max="1" width="17.58203125" style="1" customWidth="1"/>
    <col min="2" max="2" width="30.75" style="1" customWidth="1"/>
    <col min="3" max="7" width="17.58203125" style="1" customWidth="1"/>
  </cols>
  <sheetData>
    <row r="1" spans="1:7" ht="45.5" thickBot="1" x14ac:dyDescent="0.9">
      <c r="A1" s="3" t="s">
        <v>0</v>
      </c>
      <c r="B1" s="3"/>
      <c r="C1" s="3"/>
      <c r="D1" s="3"/>
      <c r="E1" s="3"/>
      <c r="F1" s="3"/>
      <c r="G1" s="3"/>
    </row>
    <row r="2" spans="1:7" ht="15" thickTop="1" thickBot="1" x14ac:dyDescent="0.35">
      <c r="A2" s="12" t="s">
        <v>1</v>
      </c>
      <c r="B2" s="12"/>
      <c r="C2" s="12"/>
      <c r="D2" s="12"/>
      <c r="E2" s="12"/>
      <c r="F2" s="12"/>
      <c r="G2" s="12"/>
    </row>
    <row r="3" spans="1:7" ht="18.5" thickTop="1" x14ac:dyDescent="0.35">
      <c r="A3" s="9"/>
      <c r="B3" s="9"/>
      <c r="C3" s="9"/>
      <c r="D3" s="9"/>
      <c r="E3" s="9"/>
      <c r="F3" s="9"/>
      <c r="G3" s="9"/>
    </row>
    <row r="4" spans="1:7" x14ac:dyDescent="0.35">
      <c r="A4" s="11" t="s">
        <v>2</v>
      </c>
      <c r="B4" s="4" t="s">
        <v>24</v>
      </c>
      <c r="C4" s="9"/>
      <c r="D4" s="9"/>
      <c r="E4" s="9"/>
      <c r="F4" s="11" t="s">
        <v>3</v>
      </c>
      <c r="G4" s="6">
        <v>75</v>
      </c>
    </row>
    <row r="5" spans="1:7" x14ac:dyDescent="0.35">
      <c r="A5" s="11" t="s">
        <v>4</v>
      </c>
      <c r="B5" s="5">
        <v>46016</v>
      </c>
      <c r="C5" s="9"/>
      <c r="D5" s="9"/>
      <c r="E5" s="9"/>
      <c r="F5" s="11" t="s">
        <v>5</v>
      </c>
      <c r="G5" s="6">
        <f>G4*150%</f>
        <v>112.5</v>
      </c>
    </row>
    <row r="6" spans="1:7" x14ac:dyDescent="0.35">
      <c r="A6" s="9"/>
      <c r="B6" s="9"/>
      <c r="C6" s="9"/>
      <c r="D6" s="9"/>
      <c r="E6" s="9"/>
      <c r="F6" s="9"/>
      <c r="G6" s="9"/>
    </row>
    <row r="7" spans="1:7" ht="13.5" x14ac:dyDescent="0.25">
      <c r="A7" s="7" t="s">
        <v>6</v>
      </c>
      <c r="B7" s="7" t="s">
        <v>7</v>
      </c>
      <c r="C7" s="7" t="s">
        <v>8</v>
      </c>
      <c r="D7" s="7" t="s">
        <v>9</v>
      </c>
      <c r="E7" s="7" t="s">
        <v>10</v>
      </c>
      <c r="F7" s="7" t="s">
        <v>11</v>
      </c>
      <c r="G7" s="7" t="s">
        <v>12</v>
      </c>
    </row>
    <row r="8" spans="1:7" x14ac:dyDescent="0.35">
      <c r="A8" s="9" t="s">
        <v>13</v>
      </c>
      <c r="B8" s="21">
        <v>46013</v>
      </c>
      <c r="C8" s="9">
        <v>8</v>
      </c>
      <c r="D8" s="9"/>
      <c r="E8" s="10">
        <f>C8*$G$4</f>
        <v>600</v>
      </c>
      <c r="F8" s="10">
        <f>D8*G$5</f>
        <v>0</v>
      </c>
      <c r="G8" s="10">
        <f>E8+F8</f>
        <v>600</v>
      </c>
    </row>
    <row r="9" spans="1:7" x14ac:dyDescent="0.35">
      <c r="A9" s="9" t="s">
        <v>16</v>
      </c>
      <c r="B9" s="21">
        <v>46014</v>
      </c>
      <c r="C9" s="9">
        <v>8</v>
      </c>
      <c r="D9" s="9">
        <v>2</v>
      </c>
      <c r="E9" s="10">
        <f>C9*G$4</f>
        <v>600</v>
      </c>
      <c r="F9" s="10">
        <f t="shared" ref="F9:F21" si="0">D9*G$5</f>
        <v>225</v>
      </c>
      <c r="G9" s="10">
        <f t="shared" ref="G9:G21" si="1">E9+F9</f>
        <v>825</v>
      </c>
    </row>
    <row r="10" spans="1:7" x14ac:dyDescent="0.35">
      <c r="A10" s="9" t="s">
        <v>17</v>
      </c>
      <c r="B10" s="21">
        <v>46015</v>
      </c>
      <c r="C10" s="9">
        <v>8</v>
      </c>
      <c r="D10" s="9"/>
      <c r="E10" s="10">
        <f>C10*G$4</f>
        <v>600</v>
      </c>
      <c r="F10" s="10">
        <f t="shared" si="0"/>
        <v>0</v>
      </c>
      <c r="G10" s="10">
        <f t="shared" si="1"/>
        <v>600</v>
      </c>
    </row>
    <row r="11" spans="1:7" x14ac:dyDescent="0.35">
      <c r="A11" s="9" t="s">
        <v>18</v>
      </c>
      <c r="B11" s="21">
        <v>46016</v>
      </c>
      <c r="C11" s="9">
        <v>8</v>
      </c>
      <c r="D11" s="9">
        <v>3</v>
      </c>
      <c r="E11" s="10">
        <f t="shared" ref="E11:E21" si="2">C11*G$4</f>
        <v>600</v>
      </c>
      <c r="F11" s="10">
        <f t="shared" si="0"/>
        <v>337.5</v>
      </c>
      <c r="G11" s="10">
        <f t="shared" si="1"/>
        <v>937.5</v>
      </c>
    </row>
    <row r="12" spans="1:7" x14ac:dyDescent="0.35">
      <c r="A12" s="9" t="s">
        <v>19</v>
      </c>
      <c r="B12" s="21">
        <v>46017</v>
      </c>
      <c r="C12" s="9">
        <v>8</v>
      </c>
      <c r="D12" s="9"/>
      <c r="E12" s="10">
        <f t="shared" si="2"/>
        <v>600</v>
      </c>
      <c r="F12" s="10">
        <f t="shared" si="0"/>
        <v>0</v>
      </c>
      <c r="G12" s="10">
        <f t="shared" si="1"/>
        <v>600</v>
      </c>
    </row>
    <row r="13" spans="1:7" x14ac:dyDescent="0.35">
      <c r="A13" s="9" t="s">
        <v>14</v>
      </c>
      <c r="B13" s="21">
        <v>46018</v>
      </c>
      <c r="C13" s="9"/>
      <c r="D13" s="9"/>
      <c r="E13" s="10">
        <f t="shared" si="2"/>
        <v>0</v>
      </c>
      <c r="F13" s="10">
        <f t="shared" si="0"/>
        <v>0</v>
      </c>
      <c r="G13" s="10">
        <f t="shared" si="1"/>
        <v>0</v>
      </c>
    </row>
    <row r="14" spans="1:7" x14ac:dyDescent="0.35">
      <c r="A14" s="9" t="s">
        <v>20</v>
      </c>
      <c r="B14" s="21">
        <v>46019</v>
      </c>
      <c r="C14" s="9"/>
      <c r="D14" s="9"/>
      <c r="E14" s="10">
        <f t="shared" si="2"/>
        <v>0</v>
      </c>
      <c r="F14" s="10">
        <f t="shared" si="0"/>
        <v>0</v>
      </c>
      <c r="G14" s="10">
        <f t="shared" si="1"/>
        <v>0</v>
      </c>
    </row>
    <row r="15" spans="1:7" x14ac:dyDescent="0.35">
      <c r="A15" s="9" t="s">
        <v>13</v>
      </c>
      <c r="B15" s="21">
        <v>46020</v>
      </c>
      <c r="C15" s="9">
        <v>8</v>
      </c>
      <c r="D15" s="9"/>
      <c r="E15" s="10">
        <f t="shared" si="2"/>
        <v>600</v>
      </c>
      <c r="F15" s="10">
        <f t="shared" si="0"/>
        <v>0</v>
      </c>
      <c r="G15" s="10">
        <f t="shared" si="1"/>
        <v>600</v>
      </c>
    </row>
    <row r="16" spans="1:7" x14ac:dyDescent="0.35">
      <c r="A16" s="9" t="s">
        <v>16</v>
      </c>
      <c r="B16" s="21">
        <v>46021</v>
      </c>
      <c r="C16" s="9">
        <v>8</v>
      </c>
      <c r="D16" s="9">
        <v>2</v>
      </c>
      <c r="E16" s="10">
        <f t="shared" si="2"/>
        <v>600</v>
      </c>
      <c r="F16" s="10">
        <f t="shared" si="0"/>
        <v>225</v>
      </c>
      <c r="G16" s="10">
        <f t="shared" si="1"/>
        <v>825</v>
      </c>
    </row>
    <row r="17" spans="1:7" x14ac:dyDescent="0.35">
      <c r="A17" s="9" t="s">
        <v>17</v>
      </c>
      <c r="B17" s="21">
        <v>46022</v>
      </c>
      <c r="C17" s="9">
        <v>8</v>
      </c>
      <c r="D17" s="9"/>
      <c r="E17" s="10">
        <f t="shared" si="2"/>
        <v>600</v>
      </c>
      <c r="F17" s="10">
        <f t="shared" si="0"/>
        <v>0</v>
      </c>
      <c r="G17" s="10">
        <f t="shared" si="1"/>
        <v>600</v>
      </c>
    </row>
    <row r="18" spans="1:7" x14ac:dyDescent="0.35">
      <c r="A18" s="9" t="s">
        <v>18</v>
      </c>
      <c r="B18" s="21">
        <v>46023</v>
      </c>
      <c r="C18" s="9">
        <v>8</v>
      </c>
      <c r="D18" s="9"/>
      <c r="E18" s="10">
        <f t="shared" si="2"/>
        <v>600</v>
      </c>
      <c r="F18" s="10">
        <f t="shared" si="0"/>
        <v>0</v>
      </c>
      <c r="G18" s="10">
        <f t="shared" si="1"/>
        <v>600</v>
      </c>
    </row>
    <row r="19" spans="1:7" x14ac:dyDescent="0.35">
      <c r="A19" s="9" t="s">
        <v>19</v>
      </c>
      <c r="B19" s="21">
        <v>46024</v>
      </c>
      <c r="C19" s="9">
        <v>8</v>
      </c>
      <c r="D19" s="9"/>
      <c r="E19" s="10">
        <f t="shared" si="2"/>
        <v>600</v>
      </c>
      <c r="F19" s="10">
        <f t="shared" si="0"/>
        <v>0</v>
      </c>
      <c r="G19" s="10">
        <f t="shared" si="1"/>
        <v>600</v>
      </c>
    </row>
    <row r="20" spans="1:7" x14ac:dyDescent="0.35">
      <c r="A20" s="9" t="s">
        <v>14</v>
      </c>
      <c r="B20" s="21">
        <v>46025</v>
      </c>
      <c r="C20" s="9"/>
      <c r="D20" s="9"/>
      <c r="E20" s="10">
        <f t="shared" si="2"/>
        <v>0</v>
      </c>
      <c r="F20" s="10">
        <f t="shared" si="0"/>
        <v>0</v>
      </c>
      <c r="G20" s="10">
        <f t="shared" si="1"/>
        <v>0</v>
      </c>
    </row>
    <row r="21" spans="1:7" x14ac:dyDescent="0.35">
      <c r="A21" s="9" t="s">
        <v>20</v>
      </c>
      <c r="B21" s="21">
        <v>46026</v>
      </c>
      <c r="C21" s="9"/>
      <c r="D21" s="9"/>
      <c r="E21" s="10">
        <f t="shared" si="2"/>
        <v>0</v>
      </c>
      <c r="F21" s="10">
        <f t="shared" si="0"/>
        <v>0</v>
      </c>
      <c r="G21" s="10">
        <f t="shared" si="1"/>
        <v>0</v>
      </c>
    </row>
    <row r="22" spans="1:7" ht="18.5" thickBot="1" x14ac:dyDescent="0.4">
      <c r="A22" s="13" t="s">
        <v>15</v>
      </c>
      <c r="B22" s="13"/>
      <c r="C22" s="14">
        <f t="shared" ref="C22:D22" si="3">SUM(C8:C21)</f>
        <v>80</v>
      </c>
      <c r="D22" s="14"/>
      <c r="E22" s="14">
        <f>SUM(E8:E21)</f>
        <v>6000</v>
      </c>
      <c r="F22" s="14">
        <f t="shared" ref="E22:G22" si="4">SUM(F8:F21)</f>
        <v>787.5</v>
      </c>
      <c r="G22" s="14">
        <f t="shared" si="4"/>
        <v>6787.5</v>
      </c>
    </row>
    <row r="23" spans="1:7" ht="18.5" thickTop="1" x14ac:dyDescent="0.35"/>
    <row r="25" spans="1:7" x14ac:dyDescent="0.35">
      <c r="B25" s="8"/>
      <c r="C25" s="8"/>
      <c r="D25" s="8"/>
    </row>
    <row r="26" spans="1:7" x14ac:dyDescent="0.35">
      <c r="B26" s="20"/>
      <c r="C26" s="20"/>
      <c r="D26" s="20"/>
      <c r="E26" s="15"/>
      <c r="F26" s="15"/>
    </row>
    <row r="27" spans="1:7" x14ac:dyDescent="0.35">
      <c r="B27" s="20"/>
      <c r="C27" s="20"/>
      <c r="D27" s="20"/>
      <c r="E27" s="15"/>
      <c r="F27" s="15"/>
    </row>
    <row r="28" spans="1:7" x14ac:dyDescent="0.35">
      <c r="B28" s="16"/>
      <c r="C28" s="17"/>
      <c r="D28" s="16"/>
      <c r="E28" s="18"/>
      <c r="F28" s="15"/>
    </row>
    <row r="29" spans="1:7" x14ac:dyDescent="0.35">
      <c r="B29" s="16"/>
      <c r="C29" s="19"/>
      <c r="D29" s="16"/>
      <c r="E29" s="18"/>
      <c r="F29" s="15"/>
    </row>
    <row r="30" spans="1:7" x14ac:dyDescent="0.35">
      <c r="B30" s="15"/>
      <c r="C30" s="15"/>
      <c r="D30" s="15"/>
      <c r="E30" s="15"/>
      <c r="F30" s="15"/>
    </row>
  </sheetData>
  <mergeCells count="2">
    <mergeCell ref="A1:G1"/>
    <mergeCell ref="A2:G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0B64-2058-4610-A341-FC438DEA2F09}">
  <dimension ref="A1"/>
  <sheetViews>
    <sheetView tabSelected="1" workbookViewId="0">
      <selection activeCell="P11" sqref="P11"/>
    </sheetView>
  </sheetViews>
  <sheetFormatPr defaultRowHeight="13.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sheet</vt:lpstr>
      <vt:lpstr>Challenge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Efe Omohwovo</cp:lastModifiedBy>
  <dcterms:created xsi:type="dcterms:W3CDTF">2017-06-07T07:53:34Z</dcterms:created>
  <dcterms:modified xsi:type="dcterms:W3CDTF">2025-12-25T18:24:10Z</dcterms:modified>
</cp:coreProperties>
</file>