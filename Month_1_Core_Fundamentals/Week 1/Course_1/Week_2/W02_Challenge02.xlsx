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8_{FCE865CA-E6B2-41FD-9310-D4A6EA3B8A6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20" i="1"/>
  <c r="B19" i="1"/>
  <c r="B12" i="1"/>
  <c r="B17" i="1"/>
  <c r="B7" i="1"/>
  <c r="M16" i="2"/>
  <c r="M17" i="2" s="1"/>
  <c r="M18" i="2" s="1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<sst xmlns="http://schemas.openxmlformats.org/spreadsheetml/2006/main" count="28" uniqueCount="27">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</sst>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4" fontId="0" fillId="0" borderId="1" xfId="0" applyNumberFormat="1" applyBorder="1"/>
    <xf numFmtId="164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373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Prep</a:t>
          </a:r>
        </a:p>
      </dsp:txBody>
      <dsp:txXfrm>
        <a:off x="2373" y="0"/>
        <a:ext cx="937846" cy="298812"/>
      </dsp:txXfrm>
    </dsp:sp>
    <dsp:sp modelId="{0C6AE58D-D96D-4803-B7BE-888BD23D5BC7}">
      <dsp:nvSpPr>
        <dsp:cNvPr id="0" name=""/>
        <dsp:cNvSpPr/>
      </dsp:nvSpPr>
      <dsp:spPr>
        <a:xfrm>
          <a:off x="96158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cost of excavation and skip</a:t>
          </a:r>
        </a:p>
      </dsp:txBody>
      <dsp:txXfrm>
        <a:off x="115120" y="317774"/>
        <a:ext cx="712353" cy="609503"/>
      </dsp:txXfrm>
    </dsp:sp>
    <dsp:sp modelId="{01930602-09ED-4E62-A923-54C8513517D2}">
      <dsp:nvSpPr>
        <dsp:cNvPr id="0" name=""/>
        <dsp:cNvSpPr/>
      </dsp:nvSpPr>
      <dsp:spPr>
        <a:xfrm>
          <a:off x="1010558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New Decking</a:t>
          </a:r>
        </a:p>
      </dsp:txBody>
      <dsp:txXfrm>
        <a:off x="1010558" y="0"/>
        <a:ext cx="937846" cy="298812"/>
      </dsp:txXfrm>
    </dsp:sp>
    <dsp:sp modelId="{8217E7D4-70F2-4B63-9352-0F1406B93F3F}">
      <dsp:nvSpPr>
        <dsp:cNvPr id="0" name=""/>
        <dsp:cNvSpPr/>
      </dsp:nvSpPr>
      <dsp:spPr>
        <a:xfrm>
          <a:off x="1104343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Labour and Materials</a:t>
          </a:r>
        </a:p>
      </dsp:txBody>
      <dsp:txXfrm>
        <a:off x="1123305" y="317774"/>
        <a:ext cx="712353" cy="609503"/>
      </dsp:txXfrm>
    </dsp:sp>
    <dsp:sp modelId="{2659D324-C34D-4297-B198-16C1608CB113}">
      <dsp:nvSpPr>
        <dsp:cNvPr id="0" name=""/>
        <dsp:cNvSpPr/>
      </dsp:nvSpPr>
      <dsp:spPr>
        <a:xfrm>
          <a:off x="2018743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Garden Work</a:t>
          </a:r>
        </a:p>
      </dsp:txBody>
      <dsp:txXfrm>
        <a:off x="2018743" y="0"/>
        <a:ext cx="937846" cy="298812"/>
      </dsp:txXfrm>
    </dsp:sp>
    <dsp:sp modelId="{144F90BB-8DC3-4652-B2B8-49210DCBD1C2}">
      <dsp:nvSpPr>
        <dsp:cNvPr id="0" name=""/>
        <dsp:cNvSpPr/>
      </dsp:nvSpPr>
      <dsp:spPr>
        <a:xfrm>
          <a:off x="2112528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Plants and Labour</a:t>
          </a:r>
        </a:p>
      </dsp:txBody>
      <dsp:txXfrm>
        <a:off x="2131490" y="317774"/>
        <a:ext cx="712353" cy="609503"/>
      </dsp:txXfrm>
    </dsp:sp>
    <dsp:sp modelId="{977218E1-1886-40CF-A007-1266DB24C757}">
      <dsp:nvSpPr>
        <dsp:cNvPr id="0" name=""/>
        <dsp:cNvSpPr/>
      </dsp:nvSpPr>
      <dsp:spPr>
        <a:xfrm>
          <a:off x="3026928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 Total</a:t>
          </a:r>
        </a:p>
      </dsp:txBody>
      <dsp:txXfrm>
        <a:off x="3026928" y="0"/>
        <a:ext cx="937846" cy="298812"/>
      </dsp:txXfrm>
    </dsp:sp>
    <dsp:sp modelId="{9DBE0CF5-07E9-4567-9460-A4AD9DF0CCF8}">
      <dsp:nvSpPr>
        <dsp:cNvPr id="0" name=""/>
        <dsp:cNvSpPr/>
      </dsp:nvSpPr>
      <dsp:spPr>
        <a:xfrm>
          <a:off x="3120712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total prep, decking and plants</a:t>
          </a:r>
        </a:p>
      </dsp:txBody>
      <dsp:txXfrm>
        <a:off x="3139674" y="317774"/>
        <a:ext cx="712353" cy="609503"/>
      </dsp:txXfrm>
    </dsp:sp>
    <dsp:sp modelId="{5F9ABE60-78F0-4A4A-AEF1-F66EE2422007}">
      <dsp:nvSpPr>
        <dsp:cNvPr id="0" name=""/>
        <dsp:cNvSpPr/>
      </dsp:nvSpPr>
      <dsp:spPr>
        <a:xfrm>
          <a:off x="4035113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Discount</a:t>
          </a:r>
        </a:p>
      </dsp:txBody>
      <dsp:txXfrm>
        <a:off x="4035113" y="0"/>
        <a:ext cx="937846" cy="298812"/>
      </dsp:txXfrm>
    </dsp:sp>
    <dsp:sp modelId="{A2A0FCEA-8EDD-47D2-BE98-306262A73889}">
      <dsp:nvSpPr>
        <dsp:cNvPr id="0" name=""/>
        <dsp:cNvSpPr/>
      </dsp:nvSpPr>
      <dsp:spPr>
        <a:xfrm>
          <a:off x="4128897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Multiply Sub Total by 10%</a:t>
          </a:r>
        </a:p>
      </dsp:txBody>
      <dsp:txXfrm>
        <a:off x="4147859" y="317774"/>
        <a:ext cx="712353" cy="609503"/>
      </dsp:txXfrm>
    </dsp:sp>
    <dsp:sp modelId="{1FDD2167-7D79-41D3-BA4B-A012184BADDE}">
      <dsp:nvSpPr>
        <dsp:cNvPr id="0" name=""/>
        <dsp:cNvSpPr/>
      </dsp:nvSpPr>
      <dsp:spPr>
        <a:xfrm>
          <a:off x="5043297" y="0"/>
          <a:ext cx="937846" cy="99604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Estimate</a:t>
          </a:r>
        </a:p>
      </dsp:txBody>
      <dsp:txXfrm>
        <a:off x="5043297" y="0"/>
        <a:ext cx="937846" cy="298812"/>
      </dsp:txXfrm>
    </dsp:sp>
    <dsp:sp modelId="{2EFAC1BA-7ABC-4C4A-8530-7D7AB162DF88}">
      <dsp:nvSpPr>
        <dsp:cNvPr id="0" name=""/>
        <dsp:cNvSpPr/>
      </dsp:nvSpPr>
      <dsp:spPr>
        <a:xfrm>
          <a:off x="5137082" y="298812"/>
          <a:ext cx="750277" cy="64742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Subtract Discount from Sub Total</a:t>
          </a:r>
        </a:p>
      </dsp:txBody>
      <dsp:txXfrm>
        <a:off x="5156044" y="317774"/>
        <a:ext cx="712353" cy="60950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topLeftCell="A13" workbookViewId="0">
      <selection activeCell="I6" sqref="I6:O6"/>
    </sheetView>
  </sheetViews>
  <sheetFormatPr defaultColWidth="8.75" defaultRowHeight="14.5"/>
  <cols>
    <col min="1" max="8" width="8.75" style="9"/>
    <col min="9" max="16" width="11" style="9" customWidth="1"/>
    <col min="17" max="16384" width="8.75" style="9"/>
  </cols>
  <sheetData>
    <row r="1" spans="1:16">
      <c r="H1" s="10"/>
    </row>
    <row r="2" spans="1:16" ht="35">
      <c r="H2" s="18" t="s">
        <v>14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29.5">
      <c r="H4" s="20" t="s">
        <v>16</v>
      </c>
      <c r="I4" s="21"/>
      <c r="J4" s="21"/>
      <c r="K4" s="21"/>
      <c r="L4" s="21"/>
      <c r="M4" s="21"/>
      <c r="N4" s="21"/>
      <c r="O4" s="21"/>
      <c r="P4" s="21"/>
    </row>
    <row r="5" spans="1:16" ht="15" thickBot="1">
      <c r="H5" s="10"/>
    </row>
    <row r="6" spans="1:16" ht="31.5" thickBot="1">
      <c r="H6" s="10"/>
      <c r="I6" s="22" t="s">
        <v>19</v>
      </c>
      <c r="J6" s="23"/>
      <c r="K6" s="23"/>
      <c r="L6" s="23"/>
      <c r="M6" s="23"/>
      <c r="N6" s="23"/>
      <c r="O6" s="24"/>
      <c r="P6" s="11"/>
    </row>
    <row r="8" spans="1:16" ht="17.5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8.5" thickBot="1">
      <c r="A10" s="14" t="s">
        <v>17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" customHeight="1">
      <c r="A12" s="25" t="s">
        <v>18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5" thickBot="1">
      <c r="A15" s="14" t="s">
        <v>15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  <c r="L16" s="17" t="s">
        <v>24</v>
      </c>
      <c r="M16" s="17" t="str">
        <f ca="1">TRIM(CLEAN(INFO("RELEASE")))</f>
        <v>16.0</v>
      </c>
    </row>
    <row r="17" spans="1:13" ht="17.5">
      <c r="A17" s="12" t="s">
        <v>20</v>
      </c>
      <c r="B17" s="12"/>
      <c r="C17" s="12"/>
      <c r="D17" s="12"/>
      <c r="E17" s="12"/>
      <c r="F17" s="12"/>
      <c r="G17" s="12"/>
      <c r="H17" s="12"/>
      <c r="I17" s="13"/>
      <c r="L17" s="17" t="s">
        <v>25</v>
      </c>
      <c r="M17" s="17" t="str">
        <f ca="1">LEFT(M16,FIND(".",M16)-1)</f>
        <v>16</v>
      </c>
    </row>
    <row r="18" spans="1:13" ht="17.5">
      <c r="A18" s="12" t="s">
        <v>21</v>
      </c>
      <c r="B18" s="12"/>
      <c r="C18" s="12"/>
      <c r="D18" s="12"/>
      <c r="E18" s="12"/>
      <c r="F18" s="12"/>
      <c r="G18" s="12"/>
      <c r="I18" s="13"/>
      <c r="L18" s="17" t="s">
        <v>26</v>
      </c>
      <c r="M18" s="17">
        <f ca="1">VALUE(M17)</f>
        <v>16</v>
      </c>
    </row>
    <row r="19" spans="1:13">
      <c r="I19" s="13"/>
    </row>
    <row r="20" spans="1:13">
      <c r="I20" s="13"/>
    </row>
    <row r="21" spans="1:13" ht="17.5">
      <c r="H21" s="12"/>
      <c r="I21" s="13"/>
    </row>
    <row r="22" spans="1:13" ht="17.5">
      <c r="A22" s="12"/>
      <c r="B22" s="12"/>
      <c r="C22" s="12"/>
      <c r="D22" s="12"/>
      <c r="E22" s="12"/>
      <c r="F22" s="12"/>
      <c r="G22" s="12"/>
      <c r="H22" s="12"/>
      <c r="I22" s="13"/>
    </row>
    <row r="23" spans="1:13" ht="17.5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7.5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7.5">
      <c r="A25" s="12"/>
      <c r="B25" s="12"/>
      <c r="C25" s="12"/>
      <c r="D25" s="12"/>
      <c r="E25" s="12"/>
      <c r="F25" s="12"/>
      <c r="G25" s="12"/>
      <c r="H25" s="13"/>
      <c r="I25" s="13"/>
    </row>
    <row r="26" spans="1:13">
      <c r="A26" s="13"/>
      <c r="B26" s="13"/>
      <c r="C26" s="13"/>
      <c r="D26" s="13"/>
      <c r="E26" s="13"/>
      <c r="F26" s="13"/>
      <c r="G26" s="13"/>
      <c r="H26" s="13"/>
    </row>
    <row r="27" spans="1:13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tabSelected="1" zoomScaleNormal="100" zoomScalePageLayoutView="130" workbookViewId="0">
      <selection activeCell="C23" sqref="C23"/>
    </sheetView>
  </sheetViews>
  <sheetFormatPr defaultColWidth="8.75" defaultRowHeight="14.5"/>
  <cols>
    <col min="1" max="1" width="64.4140625" customWidth="1"/>
    <col min="2" max="2" width="16.08203125" customWidth="1"/>
    <col min="3" max="9" width="13.75" customWidth="1"/>
  </cols>
  <sheetData>
    <row r="1" spans="1:2" s="1" customFormat="1" ht="23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>
        <f>SUM(B5:B6)</f>
        <v>1300</v>
      </c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>
        <f>SUM(B10:B11)</f>
        <v>5650</v>
      </c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>
        <f>SUM(B15:B16)</f>
        <v>1400</v>
      </c>
    </row>
    <row r="18" spans="1:2">
      <c r="B18" s="2"/>
    </row>
    <row r="19" spans="1:2">
      <c r="A19" s="4" t="s">
        <v>13</v>
      </c>
      <c r="B19" s="7">
        <f>SUM(B12,B7,B17)</f>
        <v>8350</v>
      </c>
    </row>
    <row r="20" spans="1:2">
      <c r="A20" t="s">
        <v>4</v>
      </c>
      <c r="B20" s="2">
        <f>B19*10%</f>
        <v>835</v>
      </c>
    </row>
    <row r="21" spans="1:2">
      <c r="A21" s="5" t="s">
        <v>5</v>
      </c>
      <c r="B21" s="7">
        <f>B19-B20</f>
        <v>7515</v>
      </c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2017-05-26T01:31:29Z</dcterms:created>
  <dcterms:modified xsi:type="dcterms:W3CDTF">2025-12-25T16:39:06Z</dcterms:modified>
</cp:coreProperties>
</file>