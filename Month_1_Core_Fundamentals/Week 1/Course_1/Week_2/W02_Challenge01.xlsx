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2\"/>
    </mc:Choice>
  </mc:AlternateContent>
  <xr:revisionPtr revIDLastSave="0" documentId="13_ncr:1_{C8F2B7A6-2822-4799-8F0D-C26F80EE48A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itle page" sheetId="4" r:id="rId1"/>
    <sheet name="Trip Costs" sheetId="2" r:id="rId2"/>
    <sheet name="Payments" sheetId="1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H5" i="1"/>
  <c r="H6" i="1"/>
  <c r="H7" i="1"/>
  <c r="H8" i="1"/>
  <c r="H9" i="1"/>
  <c r="H10" i="1"/>
  <c r="H11" i="1"/>
  <c r="H12" i="1"/>
  <c r="H13" i="1"/>
  <c r="H14" i="1"/>
  <c r="H15" i="1"/>
  <c r="H4" i="1"/>
  <c r="G6" i="1"/>
  <c r="G7" i="1"/>
  <c r="G8" i="1"/>
  <c r="G9" i="1"/>
  <c r="G10" i="1"/>
  <c r="G11" i="1"/>
  <c r="G12" i="1"/>
  <c r="G13" i="1"/>
  <c r="G14" i="1"/>
  <c r="G15" i="1"/>
  <c r="G5" i="1"/>
  <c r="G4" i="1"/>
  <c r="D12" i="2"/>
  <c r="D14" i="2"/>
  <c r="B12" i="2"/>
  <c r="D7" i="2"/>
  <c r="D8" i="2"/>
  <c r="D9" i="2"/>
  <c r="D10" i="2"/>
  <c r="D11" i="2"/>
  <c r="D6" i="2"/>
</calcChain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<sst xmlns="http://schemas.openxmlformats.org/spreadsheetml/2006/main" count="44" uniqueCount="44">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</sst>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43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57150</xdr:rowOff>
    </xdr:from>
    <xdr:to>
      <xdr:col>7</xdr:col>
      <xdr:colOff>108213</xdr:colOff>
      <xdr:row>5</xdr:row>
      <xdr:rowOff>312678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57150"/>
          <a:ext cx="4419863" cy="1633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opLeftCell="A10" workbookViewId="0">
      <selection activeCell="I15" sqref="I15"/>
    </sheetView>
  </sheetViews>
  <sheetFormatPr defaultColWidth="8.81640625" defaultRowHeight="14.5"/>
  <cols>
    <col min="1" max="8" width="8.81640625" style="9"/>
    <col min="9" max="16" width="11" style="9" customWidth="1"/>
    <col min="17" max="16384" width="8.81640625" style="9"/>
  </cols>
  <sheetData>
    <row r="1" spans="1:16">
      <c r="H1" s="10"/>
    </row>
    <row r="2" spans="1:16" ht="35">
      <c r="H2" s="17" t="s">
        <v>32</v>
      </c>
      <c r="I2" s="18"/>
      <c r="J2" s="18"/>
      <c r="K2" s="18"/>
      <c r="L2" s="18"/>
      <c r="M2" s="18"/>
      <c r="N2" s="18"/>
      <c r="O2" s="18"/>
      <c r="P2" s="18"/>
    </row>
    <row r="3" spans="1:16">
      <c r="H3" s="10"/>
    </row>
    <row r="4" spans="1:16" ht="29.5">
      <c r="H4" s="19" t="s">
        <v>33</v>
      </c>
      <c r="I4" s="20"/>
      <c r="J4" s="20"/>
      <c r="K4" s="20"/>
      <c r="L4" s="20"/>
      <c r="M4" s="20"/>
      <c r="N4" s="20"/>
      <c r="O4" s="20"/>
      <c r="P4" s="20"/>
    </row>
    <row r="5" spans="1:16" ht="15" thickBot="1">
      <c r="H5" s="10"/>
    </row>
    <row r="6" spans="1:16" ht="31.5" thickBot="1">
      <c r="H6" s="10"/>
      <c r="I6" s="21" t="s">
        <v>37</v>
      </c>
      <c r="J6" s="22"/>
      <c r="K6" s="22"/>
      <c r="L6" s="22"/>
      <c r="M6" s="22"/>
      <c r="N6" s="22"/>
      <c r="O6" s="23"/>
      <c r="P6" s="11"/>
    </row>
    <row r="8" spans="1:16" ht="17.5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8.5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90" customHeight="1">
      <c r="A12" s="24" t="s">
        <v>35</v>
      </c>
      <c r="B12" s="24"/>
      <c r="C12" s="24"/>
      <c r="D12" s="24"/>
      <c r="E12" s="24"/>
      <c r="F12" s="24"/>
      <c r="G12" s="24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5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7.5">
      <c r="A17" s="12" t="s">
        <v>38</v>
      </c>
      <c r="B17" s="12"/>
      <c r="C17" s="12"/>
      <c r="D17" s="12"/>
      <c r="E17" s="12"/>
      <c r="F17" s="12"/>
      <c r="G17" s="12"/>
      <c r="H17" s="12"/>
      <c r="I17" s="13"/>
    </row>
    <row r="18" spans="1:9" ht="17.5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7.5">
      <c r="H21" s="12"/>
      <c r="I21" s="13"/>
    </row>
    <row r="22" spans="1:9" ht="17.5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7.5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7.5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7.5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A4" zoomScale="150" zoomScaleNormal="150" zoomScalePageLayoutView="150" workbookViewId="0">
      <selection activeCell="C13" sqref="C13"/>
    </sheetView>
  </sheetViews>
  <sheetFormatPr defaultColWidth="8.81640625" defaultRowHeight="14.5"/>
  <cols>
    <col min="1" max="1" width="23.453125" bestFit="1" customWidth="1"/>
    <col min="2" max="2" width="9.6328125" bestFit="1" customWidth="1"/>
    <col min="3" max="3" width="16.6328125" customWidth="1"/>
    <col min="4" max="4" width="14" customWidth="1"/>
  </cols>
  <sheetData>
    <row r="1" spans="1:4" ht="23.5">
      <c r="A1" s="2" t="s">
        <v>30</v>
      </c>
    </row>
    <row r="2" spans="1:4" ht="14.5" customHeight="1">
      <c r="A2" s="2"/>
    </row>
    <row r="3" spans="1:4" ht="14.5" customHeight="1">
      <c r="A3" t="s">
        <v>31</v>
      </c>
      <c r="B3">
        <v>12</v>
      </c>
    </row>
    <row r="4" spans="1:4" ht="14.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v>12</v>
      </c>
      <c r="D6" s="5">
        <f>B6*C6</f>
        <v>2520</v>
      </c>
    </row>
    <row r="7" spans="1:4">
      <c r="A7" t="s">
        <v>42</v>
      </c>
      <c r="B7" s="5">
        <v>375</v>
      </c>
      <c r="C7" s="5">
        <v>1</v>
      </c>
      <c r="D7" s="5">
        <f t="shared" ref="D7:D11" si="0">B7*C7</f>
        <v>375</v>
      </c>
    </row>
    <row r="8" spans="1:4">
      <c r="A8" t="s">
        <v>40</v>
      </c>
      <c r="B8" s="5">
        <v>75</v>
      </c>
      <c r="C8" s="5">
        <v>12</v>
      </c>
      <c r="D8" s="5">
        <f t="shared" si="0"/>
        <v>900</v>
      </c>
    </row>
    <row r="9" spans="1:4">
      <c r="A9" t="s">
        <v>22</v>
      </c>
      <c r="B9" s="5">
        <v>6.5</v>
      </c>
      <c r="C9" s="5">
        <v>12</v>
      </c>
      <c r="D9" s="5">
        <f t="shared" si="0"/>
        <v>78</v>
      </c>
    </row>
    <row r="10" spans="1:4">
      <c r="A10" t="s">
        <v>39</v>
      </c>
      <c r="B10" s="5">
        <v>21.5</v>
      </c>
      <c r="C10" s="5">
        <v>12</v>
      </c>
      <c r="D10" s="5">
        <f t="shared" si="0"/>
        <v>258</v>
      </c>
    </row>
    <row r="11" spans="1:4">
      <c r="A11" t="s">
        <v>26</v>
      </c>
      <c r="B11" s="5">
        <v>69</v>
      </c>
      <c r="C11" s="5">
        <v>1</v>
      </c>
      <c r="D11" s="5">
        <f t="shared" si="0"/>
        <v>69</v>
      </c>
    </row>
    <row r="12" spans="1:4" ht="15" thickBot="1">
      <c r="A12" s="4" t="s">
        <v>27</v>
      </c>
      <c r="B12" s="4">
        <f t="shared" ref="B12" si="1">SUM(B6:B11)</f>
        <v>757</v>
      </c>
      <c r="C12" s="4"/>
      <c r="D12" s="4">
        <f>SUM(D6:D11)</f>
        <v>4200</v>
      </c>
    </row>
    <row r="13" spans="1:4" ht="15" thickTop="1"/>
    <row r="14" spans="1:4">
      <c r="C14" s="5" t="s">
        <v>29</v>
      </c>
      <c r="D14" s="8">
        <f>D12/B3</f>
        <v>350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zoomScale="140" zoomScaleNormal="140" zoomScalePageLayoutView="140" workbookViewId="0">
      <selection activeCell="I19" sqref="I19"/>
    </sheetView>
  </sheetViews>
  <sheetFormatPr defaultColWidth="8.81640625" defaultRowHeight="14.5"/>
  <cols>
    <col min="1" max="1" width="18.453125" customWidth="1"/>
    <col min="2" max="2" width="6.6328125" customWidth="1"/>
    <col min="3" max="3" width="11.1796875" customWidth="1"/>
    <col min="4" max="4" width="11" bestFit="1" customWidth="1"/>
    <col min="5" max="5" width="11.6328125" bestFit="1" customWidth="1"/>
    <col min="6" max="6" width="11.36328125" bestFit="1" customWidth="1"/>
    <col min="7" max="7" width="11.6328125" customWidth="1"/>
    <col min="8" max="8" width="11.453125" customWidth="1"/>
  </cols>
  <sheetData>
    <row r="1" spans="1:8" ht="23.5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C4-G4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>SUM(D5:F5)</f>
        <v>0</v>
      </c>
      <c r="H5">
        <f t="shared" ref="H5:H15" si="0">C5-G5</f>
        <v>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 t="shared" ref="G6:G15" si="1">SUM(D6:F6)</f>
        <v>180</v>
      </c>
      <c r="H6">
        <f t="shared" si="0"/>
        <v>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 t="shared" si="1"/>
        <v>200</v>
      </c>
      <c r="H7">
        <f t="shared" si="0"/>
        <v>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 t="shared" si="1"/>
        <v>350</v>
      </c>
      <c r="H8">
        <f t="shared" si="0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 t="shared" si="1"/>
        <v>200</v>
      </c>
      <c r="H9">
        <f t="shared" si="0"/>
        <v>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 t="shared" si="1"/>
        <v>200</v>
      </c>
      <c r="H10">
        <f t="shared" si="0"/>
        <v>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 t="shared" si="1"/>
        <v>100</v>
      </c>
      <c r="H11">
        <f t="shared" si="0"/>
        <v>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 t="shared" si="1"/>
        <v>200</v>
      </c>
      <c r="H12">
        <f t="shared" si="0"/>
        <v>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 t="shared" si="1"/>
        <v>100</v>
      </c>
      <c r="H13">
        <f t="shared" si="0"/>
        <v>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 t="shared" si="1"/>
        <v>350</v>
      </c>
      <c r="H14">
        <f t="shared" si="0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 t="shared" si="1"/>
        <v>200</v>
      </c>
      <c r="H15">
        <f t="shared" si="0"/>
        <v>150</v>
      </c>
    </row>
    <row r="16" spans="1:8" ht="15" thickBot="1">
      <c r="A16" s="3" t="s">
        <v>21</v>
      </c>
      <c r="B16" s="4"/>
      <c r="C16" s="4">
        <f t="shared" ref="C16:H16" si="2">SUM(C4:C15)</f>
        <v>4200</v>
      </c>
      <c r="D16" s="4">
        <f t="shared" si="2"/>
        <v>1050</v>
      </c>
      <c r="E16" s="4">
        <f t="shared" si="2"/>
        <v>930</v>
      </c>
      <c r="F16" s="4">
        <f t="shared" si="2"/>
        <v>450</v>
      </c>
      <c r="G16" s="4">
        <f t="shared" si="2"/>
        <v>2430</v>
      </c>
      <c r="H16" s="4">
        <f t="shared" si="2"/>
        <v>1770</v>
      </c>
    </row>
    <row r="17" ht="15" thickTop="1"/>
  </sheetData>
  <pageMargins left="0.7" right="0.7" top="0.75" bottom="0.75" header="0.3" footer="0.3"/>
  <ignoredErrors>
    <ignoredError sqref="G4:G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2016-03-07T06:28:20Z</dcterms:created>
  <dcterms:modified xsi:type="dcterms:W3CDTF">2025-12-27T06:54:31Z</dcterms:modified>
</cp:coreProperties>
</file>